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線を引く" sheetId="1" state="visible" r:id="rId1"/>
    <sheet xmlns:r="http://schemas.openxmlformats.org/officeDocument/2006/relationships" name="2_相関のパターン" sheetId="2" state="visible" r:id="rId2"/>
    <sheet xmlns:r="http://schemas.openxmlformats.org/officeDocument/2006/relationships" name="3_面積最大化" sheetId="3" state="visible" r:id="rId3"/>
    <sheet xmlns:r="http://schemas.openxmlformats.org/officeDocument/2006/relationships" name="4_最適価格" sheetId="4" state="visible" r:id="rId4"/>
    <sheet xmlns:r="http://schemas.openxmlformats.org/officeDocument/2006/relationships" name="5_ベスト直線" sheetId="5" state="visible" r:id="rId5"/>
    <sheet xmlns:r="http://schemas.openxmlformats.org/officeDocument/2006/relationships" name="6_最小二乗法" sheetId="6" state="visible" r:id="rId6"/>
    <sheet xmlns:r="http://schemas.openxmlformats.org/officeDocument/2006/relationships" name="演習①_基本" sheetId="7" state="visible" r:id="rId7"/>
    <sheet xmlns:r="http://schemas.openxmlformats.org/officeDocument/2006/relationships" name="演習②_応用" sheetId="8" state="visible" r:id="rId8"/>
    <sheet xmlns:r="http://schemas.openxmlformats.org/officeDocument/2006/relationships" name="挑戦①_広告費の最適化" sheetId="9" state="visible" r:id="rId9"/>
    <sheet xmlns:r="http://schemas.openxmlformats.org/officeDocument/2006/relationships" name="挑戦②_月別気温で売上予測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"/>
      <b val="1"/>
      <color rgb="FF1F2937"/>
      <sz val="18"/>
    </font>
    <font>
      <name val="Yu Gothic"/>
      <color rgb="FF1F2937"/>
      <sz val="11"/>
    </font>
    <font>
      <name val="Yu Gothic"/>
      <b val="1"/>
      <color rgb="FF1F2937"/>
      <sz val="12"/>
    </font>
    <font>
      <name val="Yu Gothic"/>
      <color rgb="FF6B7280"/>
      <sz val="11"/>
    </font>
    <font>
      <name val="Yu Gothic"/>
      <b val="1"/>
      <color rgb="FF92400E"/>
      <sz val="12"/>
    </font>
    <font>
      <name val="Yu Gothic"/>
      <color rgb="FF422006"/>
      <sz val="11"/>
    </font>
    <font>
      <name val="Yu Gothic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F6F7F9"/>
      </patternFill>
    </fill>
    <fill>
      <patternFill patternType="solid">
        <fgColor rgb="FFEFF6FF"/>
      </patternFill>
    </fill>
    <fill>
      <patternFill patternType="solid">
        <fgColor rgb="FFFEF3C7"/>
      </patternFill>
    </fill>
    <fill>
      <patternFill patternType="solid">
        <fgColor rgb="FFFDE68A"/>
      </patternFill>
    </fill>
    <fill>
      <patternFill patternType="solid">
        <fgColor rgb="FF1F2937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2" customHeight="1"/>
    <row r="2" ht="30" customHeight="1">
      <c r="B2" s="1" t="inlineStr">
        <is>
          <t>1. 線を引く ／ アイスコーヒーの売上予測</t>
        </is>
      </c>
    </row>
    <row r="3" ht="6" customHeight="1"/>
    <row r="4" ht="22" customHeight="1">
      <c r="B4" s="2" t="inlineStr">
        <is>
          <t>駅前のカフェで気温 (x) とアイスコーヒーの売上 (y) を 5 日間記録した。
気温 1℃ で何杯増える? の目安から、自分で a と b を当てはめて予測線を作る。</t>
        </is>
      </c>
    </row>
    <row r="5" ht="22" customHeight="1"/>
    <row r="6" ht="22" customHeight="1"/>
    <row r="9">
      <c r="B9" s="3" t="inlineStr">
        <is>
          <t>気温 x (℃)</t>
        </is>
      </c>
      <c r="C9" s="3" t="inlineStr">
        <is>
          <t>売上 y (杯)</t>
        </is>
      </c>
      <c r="D9" s="3" t="inlineStr">
        <is>
          <t>予測 = a x + b</t>
        </is>
      </c>
      <c r="E9" s="3" t="inlineStr">
        <is>
          <t>残差 = y − 予測</t>
        </is>
      </c>
      <c r="I9" s="3" t="inlineStr">
        <is>
          <t>a (傾き)</t>
        </is>
      </c>
      <c r="J9" s="3" t="inlineStr">
        <is>
          <t>b (切片)</t>
        </is>
      </c>
    </row>
    <row r="10">
      <c r="B10" s="4" t="n">
        <v>20</v>
      </c>
      <c r="C10" s="4" t="n">
        <v>80</v>
      </c>
      <c r="D10" s="5">
        <f>$I$10*B10+$J$10</f>
        <v/>
      </c>
      <c r="E10" s="5">
        <f>C10-D10</f>
        <v/>
      </c>
      <c r="I10" s="5" t="n">
        <v>6.5</v>
      </c>
      <c r="J10" s="5" t="n">
        <v>-52</v>
      </c>
    </row>
    <row r="11">
      <c r="B11" s="4" t="n">
        <v>24</v>
      </c>
      <c r="C11" s="4" t="n">
        <v>100</v>
      </c>
      <c r="D11" s="5">
        <f>$I$10*B11+$J$10</f>
        <v/>
      </c>
      <c r="E11" s="5">
        <f>C11-D11</f>
        <v/>
      </c>
    </row>
    <row r="12">
      <c r="B12" s="4" t="n">
        <v>28</v>
      </c>
      <c r="C12" s="4" t="n">
        <v>130</v>
      </c>
      <c r="D12" s="5">
        <f>$I$10*B12+$J$10</f>
        <v/>
      </c>
      <c r="E12" s="5">
        <f>C12-D12</f>
        <v/>
      </c>
      <c r="I12" s="6" t="inlineStr">
        <is>
          <t>▶  黄色を埋める</t>
        </is>
      </c>
    </row>
    <row r="13">
      <c r="B13" s="4" t="n">
        <v>32</v>
      </c>
      <c r="C13" s="4" t="n">
        <v>160</v>
      </c>
      <c r="D13" s="5">
        <f>$I$10*B13+$J$10</f>
        <v/>
      </c>
      <c r="E13" s="5">
        <f>C13-D13</f>
        <v/>
      </c>
      <c r="I13" s="7" t="inlineStr">
        <is>
          <t>① D10 にサンプル式 =$I$10*B10+$J$10 が入っている。
② D10 を D14 までフィルハンドル(青い四角)で下にドラッグ。
③ E10 のフィルハンドルも E14 までドラッグ。</t>
        </is>
      </c>
    </row>
    <row r="14">
      <c r="B14" s="4" t="n">
        <v>36</v>
      </c>
      <c r="C14" s="4" t="n">
        <v>180</v>
      </c>
      <c r="D14" s="5">
        <f>$I$10*B14+$J$10</f>
        <v/>
      </c>
      <c r="E14" s="5">
        <f>C14-D14</f>
        <v/>
      </c>
    </row>
    <row r="15"/>
    <row r="17">
      <c r="B17" s="8" t="inlineStr">
        <is>
          <t>26 ℃ の予測売上</t>
        </is>
      </c>
      <c r="D17" s="5">
        <f>$I$10*26+$J$10</f>
        <v/>
      </c>
      <c r="E17" s="9" t="inlineStr">
        <is>
          <t>杯</t>
        </is>
      </c>
      <c r="I17" s="6" t="inlineStr">
        <is>
          <t>▶  グラフで可視化</t>
        </is>
      </c>
    </row>
    <row r="18">
      <c r="B18" s="8" t="inlineStr">
        <is>
          <t>残差の絶対値の合計</t>
        </is>
      </c>
      <c r="D18" s="5">
        <f>ABS(E10)+ABS(E11)+ABS(E12)+ABS(E13)+ABS(E14)</f>
        <v/>
      </c>
      <c r="E18" s="9" t="inlineStr">
        <is>
          <t>小さいほど良い</t>
        </is>
      </c>
      <c r="I18" s="7" t="inlineStr">
        <is>
          <t>① B9:D14 (気温・売上・予測 の 3 列) を選択 → メニュー [挿入] → [グラフ]。
② グラフの種類を「散布図」 に変更 → 実測点(売上) と予測直線が自動で 2 系列に分かれる。
③ カスタマイズ → 系列 → 「予測 = a x + b」 系列を選び、 「線の太さ」 を 2px 以上に上げる。</t>
        </is>
      </c>
    </row>
    <row r="19"/>
    <row r="20"/>
    <row r="22">
      <c r="I22" s="6" t="inlineStr">
        <is>
          <t>▶  動かしてみる</t>
        </is>
      </c>
    </row>
    <row r="23">
      <c r="I23" s="7" t="inlineStr">
        <is>
          <t>① I10 (a) を 6.5、 J10 (b) を −52 に変えてみる。
② 残差合計 (D18) が小さくなったか確認。
③ 26 ℃ の予測売上 (D17) は 117 杯。
④ ベスト直線は a=6.5, b=−52 で 残差合計 = 12 に到達する。</t>
        </is>
      </c>
    </row>
    <row r="24"/>
    <row r="25"/>
    <row r="26"/>
    <row r="27"/>
  </sheetData>
  <mergeCells count="10">
    <mergeCell ref="I12:M12"/>
    <mergeCell ref="B2:G2"/>
    <mergeCell ref="I13:M15"/>
    <mergeCell ref="I18:M20"/>
    <mergeCell ref="I22:M22"/>
    <mergeCell ref="I23:M27"/>
    <mergeCell ref="B17:C17"/>
    <mergeCell ref="B18:C18"/>
    <mergeCell ref="B4:G6"/>
    <mergeCell ref="I17:M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2" customHeight="1"/>
    <row r="2" ht="30" customHeight="1">
      <c r="B2" s="1" t="inlineStr">
        <is>
          <t>2. 相関のパターン ／ r で散らばりを数値化</t>
        </is>
      </c>
    </row>
    <row r="3" ht="6" customHeight="1"/>
    <row r="4" ht="22" customHeight="1">
      <c r="B4" s="2" t="inlineStr">
        <is>
          <t>4 種類の (x, y) データを並べて、各々に「相関係数 r」 を計算する。
r が ±1 に近い = 強い相関、 r が 0 に近い = 無相関。</t>
        </is>
      </c>
    </row>
    <row r="5" ht="22" customHeight="1"/>
    <row r="6" ht="22" customHeight="1"/>
    <row r="9">
      <c r="B9" s="3" t="inlineStr">
        <is>
          <t>① 強い相関</t>
        </is>
      </c>
      <c r="C9" s="10" t="n"/>
      <c r="D9" s="3" t="inlineStr">
        <is>
          <t>② 中程度</t>
        </is>
      </c>
      <c r="E9" s="10" t="n"/>
      <c r="F9" s="3" t="inlineStr">
        <is>
          <t>③ 弱い</t>
        </is>
      </c>
      <c r="G9" s="10" t="n"/>
      <c r="I9" s="3" t="inlineStr">
        <is>
          <t>④ 無相関</t>
        </is>
      </c>
      <c r="J9" s="10" t="n"/>
      <c r="L9" s="6" t="inlineStr">
        <is>
          <t>▶  黄色を埋める</t>
        </is>
      </c>
    </row>
    <row r="10">
      <c r="B10" s="3" t="inlineStr">
        <is>
          <t>x</t>
        </is>
      </c>
      <c r="C10" s="3" t="inlineStr">
        <is>
          <t>y</t>
        </is>
      </c>
      <c r="D10" s="3" t="inlineStr">
        <is>
          <t>x</t>
        </is>
      </c>
      <c r="E10" s="3" t="inlineStr">
        <is>
          <t>y</t>
        </is>
      </c>
      <c r="F10" s="3" t="inlineStr">
        <is>
          <t>x</t>
        </is>
      </c>
      <c r="G10" s="3" t="inlineStr">
        <is>
          <t>y</t>
        </is>
      </c>
      <c r="I10" s="3" t="inlineStr">
        <is>
          <t>x</t>
        </is>
      </c>
      <c r="J10" s="3" t="inlineStr">
        <is>
          <t>y</t>
        </is>
      </c>
      <c r="L10" s="7" t="inlineStr">
        <is>
          <t>① C24 / E24 / G24 / J24 に CORREL 関数で 相関係数を計算済(黄色)。
② 4 つの r 値を見比べる。 ① は 1 に近く、 ④ は 0 に近いはず。</t>
        </is>
      </c>
    </row>
    <row r="11">
      <c r="B11" s="4" t="n">
        <v>10</v>
      </c>
      <c r="C11" s="4" t="n">
        <v>18</v>
      </c>
      <c r="D11" s="4" t="n">
        <v>10</v>
      </c>
      <c r="E11" s="4" t="n">
        <v>30</v>
      </c>
      <c r="F11" s="4" t="n">
        <v>10</v>
      </c>
      <c r="G11" s="4" t="n">
        <v>45</v>
      </c>
      <c r="I11" s="4" t="n">
        <v>10</v>
      </c>
      <c r="J11" s="4" t="n">
        <v>55</v>
      </c>
    </row>
    <row r="12">
      <c r="B12" s="4" t="n">
        <v>18</v>
      </c>
      <c r="C12" s="4" t="n">
        <v>24</v>
      </c>
      <c r="D12" s="4" t="n">
        <v>18</v>
      </c>
      <c r="E12" s="4" t="n">
        <v>42</v>
      </c>
      <c r="F12" s="4" t="n">
        <v>18</v>
      </c>
      <c r="G12" s="4" t="n">
        <v>30</v>
      </c>
      <c r="I12" s="4" t="n">
        <v>18</v>
      </c>
      <c r="J12" s="4" t="n">
        <v>30</v>
      </c>
    </row>
    <row r="13">
      <c r="B13" s="4" t="n">
        <v>25</v>
      </c>
      <c r="C13" s="4" t="n">
        <v>30</v>
      </c>
      <c r="D13" s="4" t="n">
        <v>25</v>
      </c>
      <c r="E13" s="4" t="n">
        <v>30</v>
      </c>
      <c r="F13" s="4" t="n">
        <v>25</v>
      </c>
      <c r="G13" s="4" t="n">
        <v>55</v>
      </c>
      <c r="I13" s="4" t="n">
        <v>25</v>
      </c>
      <c r="J13" s="4" t="n">
        <v>78</v>
      </c>
    </row>
    <row r="14">
      <c r="B14" s="4" t="n">
        <v>32</v>
      </c>
      <c r="C14" s="4" t="n">
        <v>36</v>
      </c>
      <c r="D14" s="4" t="n">
        <v>32</v>
      </c>
      <c r="E14" s="4" t="n">
        <v>55</v>
      </c>
      <c r="F14" s="4" t="n">
        <v>32</v>
      </c>
      <c r="G14" s="4" t="n">
        <v>40</v>
      </c>
      <c r="I14" s="4" t="n">
        <v>32</v>
      </c>
      <c r="J14" s="4" t="n">
        <v>42</v>
      </c>
    </row>
    <row r="15">
      <c r="B15" s="4" t="n">
        <v>40</v>
      </c>
      <c r="C15" s="4" t="n">
        <v>46</v>
      </c>
      <c r="D15" s="4" t="n">
        <v>40</v>
      </c>
      <c r="E15" s="4" t="n">
        <v>40</v>
      </c>
      <c r="F15" s="4" t="n">
        <v>40</v>
      </c>
      <c r="G15" s="4" t="n">
        <v>65</v>
      </c>
      <c r="I15" s="4" t="n">
        <v>40</v>
      </c>
      <c r="J15" s="4" t="n">
        <v>25</v>
      </c>
    </row>
    <row r="16">
      <c r="B16" s="4" t="n">
        <v>48</v>
      </c>
      <c r="C16" s="4" t="n">
        <v>54</v>
      </c>
      <c r="D16" s="4" t="n">
        <v>48</v>
      </c>
      <c r="E16" s="4" t="n">
        <v>62</v>
      </c>
      <c r="F16" s="4" t="n">
        <v>48</v>
      </c>
      <c r="G16" s="4" t="n">
        <v>38</v>
      </c>
      <c r="I16" s="4" t="n">
        <v>48</v>
      </c>
      <c r="J16" s="4" t="n">
        <v>70</v>
      </c>
      <c r="L16" s="6" t="inlineStr">
        <is>
          <t>▶  グラフで可視化</t>
        </is>
      </c>
    </row>
    <row r="17">
      <c r="B17" s="4" t="n">
        <v>55</v>
      </c>
      <c r="C17" s="4" t="n">
        <v>60</v>
      </c>
      <c r="D17" s="4" t="n">
        <v>55</v>
      </c>
      <c r="E17" s="4" t="n">
        <v>50</v>
      </c>
      <c r="F17" s="4" t="n">
        <v>55</v>
      </c>
      <c r="G17" s="4" t="n">
        <v>68</v>
      </c>
      <c r="I17" s="4" t="n">
        <v>55</v>
      </c>
      <c r="J17" s="4" t="n">
        <v>38</v>
      </c>
      <c r="L17" s="7" t="inlineStr">
        <is>
          <t>① B10:C22 を選択 → 挿入 → グラフ → 散布図。 ① の点が直線状に並ぶ。
② 同様に D10:E22、 F10:G22、 I10:J22 を別グラフで散布図に。
③ 4 つを並べて見ると、 r 値の大小と「点の集まり具合」 が一致する。</t>
        </is>
      </c>
    </row>
    <row r="18">
      <c r="B18" s="4" t="n">
        <v>62</v>
      </c>
      <c r="C18" s="4" t="n">
        <v>68</v>
      </c>
      <c r="D18" s="4" t="n">
        <v>62</v>
      </c>
      <c r="E18" s="4" t="n">
        <v>70</v>
      </c>
      <c r="F18" s="4" t="n">
        <v>62</v>
      </c>
      <c r="G18" s="4" t="n">
        <v>42</v>
      </c>
      <c r="I18" s="4" t="n">
        <v>62</v>
      </c>
      <c r="J18" s="4" t="n">
        <v>58</v>
      </c>
    </row>
    <row r="19">
      <c r="B19" s="4" t="n">
        <v>70</v>
      </c>
      <c r="C19" s="4" t="n">
        <v>76</v>
      </c>
      <c r="D19" s="4" t="n">
        <v>70</v>
      </c>
      <c r="E19" s="4" t="n">
        <v>58</v>
      </c>
      <c r="F19" s="4" t="n">
        <v>70</v>
      </c>
      <c r="G19" s="4" t="n">
        <v>70</v>
      </c>
      <c r="I19" s="4" t="n">
        <v>70</v>
      </c>
      <c r="J19" s="4" t="n">
        <v>30</v>
      </c>
    </row>
    <row r="20">
      <c r="B20" s="4" t="n">
        <v>78</v>
      </c>
      <c r="C20" s="4" t="n">
        <v>82</v>
      </c>
      <c r="D20" s="4" t="n">
        <v>78</v>
      </c>
      <c r="E20" s="4" t="n">
        <v>78</v>
      </c>
      <c r="F20" s="4" t="n">
        <v>78</v>
      </c>
      <c r="G20" s="4" t="n">
        <v>52</v>
      </c>
      <c r="I20" s="4" t="n">
        <v>78</v>
      </c>
      <c r="J20" s="4" t="n">
        <v>65</v>
      </c>
    </row>
    <row r="21">
      <c r="B21" s="4" t="n">
        <v>85</v>
      </c>
      <c r="C21" s="4" t="n">
        <v>88</v>
      </c>
      <c r="D21" s="4" t="n">
        <v>85</v>
      </c>
      <c r="E21" s="4" t="n">
        <v>68</v>
      </c>
      <c r="F21" s="4" t="n">
        <v>85</v>
      </c>
      <c r="G21" s="4" t="n">
        <v>75</v>
      </c>
      <c r="I21" s="4" t="n">
        <v>85</v>
      </c>
      <c r="J21" s="4" t="n">
        <v>48</v>
      </c>
    </row>
    <row r="22">
      <c r="B22" s="4" t="n">
        <v>92</v>
      </c>
      <c r="C22" s="4" t="n">
        <v>94</v>
      </c>
      <c r="D22" s="4" t="n">
        <v>92</v>
      </c>
      <c r="E22" s="4" t="n">
        <v>85</v>
      </c>
      <c r="F22" s="4" t="n">
        <v>92</v>
      </c>
      <c r="G22" s="4" t="n">
        <v>58</v>
      </c>
      <c r="I22" s="4" t="n">
        <v>92</v>
      </c>
      <c r="J22" s="4" t="n">
        <v>38</v>
      </c>
    </row>
    <row r="23">
      <c r="L23" s="6" t="inlineStr">
        <is>
          <t>▶  動かしてみる</t>
        </is>
      </c>
    </row>
    <row r="24">
      <c r="B24" s="8" t="inlineStr">
        <is>
          <t>相関係数 r =</t>
        </is>
      </c>
      <c r="C24" s="5">
        <f>CORREL(B11:B22,C11:C22)</f>
        <v/>
      </c>
      <c r="E24" s="5">
        <f>CORREL(D11:D22,E11:E22)</f>
        <v/>
      </c>
      <c r="G24" s="5">
        <f>CORREL(F11:F22,G11:G22)</f>
        <v/>
      </c>
      <c r="J24" s="5">
        <f>CORREL(I11:I22,J11:J22)</f>
        <v/>
      </c>
      <c r="L24" s="7" t="inlineStr">
        <is>
          <t>① C13(① で y=30 の点)を 95 に変えてみる(外れ値を作る)。
② r 値 (C24) がどう変わるか観察。 → r が 1 に近い値から下がる。
③ 1 個の外れ値で相関係数が大きく動く = データのクリーニングが大事。</t>
        </is>
      </c>
    </row>
    <row r="25"/>
    <row r="26"/>
    <row r="27"/>
    <row r="28"/>
  </sheetData>
  <mergeCells count="12">
    <mergeCell ref="B2:G2"/>
    <mergeCell ref="L10:N14"/>
    <mergeCell ref="L16:N16"/>
    <mergeCell ref="L24:N28"/>
    <mergeCell ref="L23:N23"/>
    <mergeCell ref="L9:N9"/>
    <mergeCell ref="B4:G6"/>
    <mergeCell ref="B9:C9"/>
    <mergeCell ref="D9:E9"/>
    <mergeCell ref="I9:J9"/>
    <mergeCell ref="F9:G9"/>
    <mergeCell ref="L17:N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2" customHeight="1"/>
    <row r="2" ht="30" customHeight="1">
      <c r="B2" s="1" t="inlineStr">
        <is>
          <t>3. 面積最大化 ／ 周囲 20m の長方形の最適形</t>
        </is>
      </c>
    </row>
    <row r="3" ht="6" customHeight="1"/>
    <row r="4" ht="22" customHeight="1">
      <c r="B4" s="2" t="inlineStr">
        <is>
          <t>周囲 20 m の柵で長方形の庭を囲う。 縦と横でどう面積が変わるか?
縦 x、 横 = 10 − x、 面積 = x × (10 − x)。 x を動かして頂点を探す。</t>
        </is>
      </c>
    </row>
    <row r="5" ht="22" customHeight="1"/>
    <row r="6" ht="22" customHeight="1"/>
    <row r="9">
      <c r="B9" s="3" t="inlineStr">
        <is>
          <t>縦 x (m)</t>
        </is>
      </c>
      <c r="C9" s="3" t="inlineStr">
        <is>
          <t>横 = 10 − x (m)</t>
        </is>
      </c>
      <c r="D9" s="3" t="inlineStr">
        <is>
          <t>面積 = x × (10 − x)</t>
        </is>
      </c>
      <c r="I9" s="6" t="inlineStr">
        <is>
          <t>▶  黄色を埋める</t>
        </is>
      </c>
    </row>
    <row r="10">
      <c r="B10" s="4" t="n">
        <v>0.5</v>
      </c>
      <c r="C10" s="5">
        <f>10-B10</f>
        <v/>
      </c>
      <c r="D10" s="5">
        <f>B10*C10</f>
        <v/>
      </c>
      <c r="I10" s="7" t="inlineStr">
        <is>
          <t>① C10 にサンプル式 =10-B10 (横) と D10 に =B10*C10 (面積) あり。
② C10 と D10 を選択 → フィルハンドルを D28 までドラッグ → 19 行ぶん埋まる。</t>
        </is>
      </c>
    </row>
    <row r="11">
      <c r="B11" s="4" t="n">
        <v>1</v>
      </c>
      <c r="C11" s="5">
        <f>10-B11</f>
        <v/>
      </c>
      <c r="D11" s="5">
        <f>B11*C11</f>
        <v/>
      </c>
    </row>
    <row r="12">
      <c r="B12" s="4" t="n">
        <v>1.5</v>
      </c>
      <c r="C12" s="5">
        <f>10-B12</f>
        <v/>
      </c>
      <c r="D12" s="5">
        <f>B12*C12</f>
        <v/>
      </c>
    </row>
    <row r="13">
      <c r="B13" s="4" t="n">
        <v>2</v>
      </c>
      <c r="C13" s="5">
        <f>10-B13</f>
        <v/>
      </c>
      <c r="D13" s="5">
        <f>B13*C13</f>
        <v/>
      </c>
    </row>
    <row r="14">
      <c r="B14" s="4" t="n">
        <v>2.5</v>
      </c>
      <c r="C14" s="5">
        <f>10-B14</f>
        <v/>
      </c>
      <c r="D14" s="5">
        <f>B14*C14</f>
        <v/>
      </c>
    </row>
    <row r="15">
      <c r="B15" s="4" t="n">
        <v>3</v>
      </c>
      <c r="C15" s="5">
        <f>10-B15</f>
        <v/>
      </c>
      <c r="D15" s="5">
        <f>B15*C15</f>
        <v/>
      </c>
    </row>
    <row r="16">
      <c r="B16" s="4" t="n">
        <v>3.5</v>
      </c>
      <c r="C16" s="5">
        <f>10-B16</f>
        <v/>
      </c>
      <c r="D16" s="5">
        <f>B16*C16</f>
        <v/>
      </c>
      <c r="I16" s="6" t="inlineStr">
        <is>
          <t>▶  グラフで可視化</t>
        </is>
      </c>
    </row>
    <row r="17">
      <c r="B17" s="4" t="n">
        <v>4</v>
      </c>
      <c r="C17" s="5">
        <f>10-B17</f>
        <v/>
      </c>
      <c r="D17" s="5">
        <f>B17*C17</f>
        <v/>
      </c>
      <c r="I17" s="7" t="inlineStr">
        <is>
          <t>① B9:B28, D9:D28 を選択(縦と面積の 2 列だけ、 横の列はスキップ)。
② 挿入 → グラフ → 散布図に変更。 → 上に凸の放物線が現れる。
③ ダブルクリック → カスタマイズ → 系列 → 「線の太さ」 を 0px から 2px 以上に上げる(これで点が線で結ばれる)。もし見当たらない場合はグラフ種類を「折れ線グラフ」 に変える。</t>
        </is>
      </c>
    </row>
    <row r="18">
      <c r="B18" s="4" t="n">
        <v>4.5</v>
      </c>
      <c r="C18" s="5">
        <f>10-B18</f>
        <v/>
      </c>
      <c r="D18" s="5">
        <f>B18*C18</f>
        <v/>
      </c>
    </row>
    <row r="19">
      <c r="B19" s="4" t="n">
        <v>5</v>
      </c>
      <c r="C19" s="5">
        <f>10-B19</f>
        <v/>
      </c>
      <c r="D19" s="5">
        <f>B19*C19</f>
        <v/>
      </c>
    </row>
    <row r="20">
      <c r="B20" s="4" t="n">
        <v>5.5</v>
      </c>
      <c r="C20" s="5">
        <f>10-B20</f>
        <v/>
      </c>
      <c r="D20" s="5">
        <f>B20*C20</f>
        <v/>
      </c>
    </row>
    <row r="21">
      <c r="B21" s="4" t="n">
        <v>6</v>
      </c>
      <c r="C21" s="5">
        <f>10-B21</f>
        <v/>
      </c>
      <c r="D21" s="5">
        <f>B21*C21</f>
        <v/>
      </c>
    </row>
    <row r="22">
      <c r="B22" s="4" t="n">
        <v>6.5</v>
      </c>
      <c r="C22" s="5">
        <f>10-B22</f>
        <v/>
      </c>
      <c r="D22" s="5">
        <f>B22*C22</f>
        <v/>
      </c>
    </row>
    <row r="23">
      <c r="B23" s="4" t="n">
        <v>7</v>
      </c>
      <c r="C23" s="5">
        <f>10-B23</f>
        <v/>
      </c>
      <c r="D23" s="5">
        <f>B23*C23</f>
        <v/>
      </c>
      <c r="I23" s="6" t="inlineStr">
        <is>
          <t>▶  動かしてみる</t>
        </is>
      </c>
    </row>
    <row r="24">
      <c r="B24" s="4" t="n">
        <v>7.5</v>
      </c>
      <c r="C24" s="5">
        <f>10-B24</f>
        <v/>
      </c>
      <c r="D24" s="5">
        <f>B24*C24</f>
        <v/>
      </c>
      <c r="I24" s="7" t="inlineStr">
        <is>
          <t>① C31 (最大面積) と C32 (そのときの x) を見る。
② 最大面積は 25 m²、 x = 5.0 m(正方形)が答え。
③ 同じ周囲でも、 形が「正方形」 のときに一番広く囲える。</t>
        </is>
      </c>
    </row>
    <row r="25">
      <c r="B25" s="4" t="n">
        <v>8</v>
      </c>
      <c r="C25" s="5">
        <f>10-B25</f>
        <v/>
      </c>
      <c r="D25" s="5">
        <f>B25*C25</f>
        <v/>
      </c>
    </row>
    <row r="26">
      <c r="B26" s="4" t="n">
        <v>8.5</v>
      </c>
      <c r="C26" s="5">
        <f>10-B26</f>
        <v/>
      </c>
      <c r="D26" s="5">
        <f>B26*C26</f>
        <v/>
      </c>
    </row>
    <row r="27">
      <c r="B27" s="4" t="n">
        <v>9</v>
      </c>
      <c r="C27" s="5">
        <f>10-B27</f>
        <v/>
      </c>
      <c r="D27" s="5">
        <f>B27*C27</f>
        <v/>
      </c>
    </row>
    <row r="28">
      <c r="B28" s="4" t="n">
        <v>9.5</v>
      </c>
      <c r="C28" s="5">
        <f>10-B28</f>
        <v/>
      </c>
      <c r="D28" s="5">
        <f>B28*C28</f>
        <v/>
      </c>
    </row>
    <row r="31">
      <c r="B31" s="11" t="inlineStr">
        <is>
          <t>最大面積</t>
        </is>
      </c>
      <c r="C31" s="5">
        <f>MAX(D10:D28)</f>
        <v/>
      </c>
      <c r="D31" s="12" t="inlineStr">
        <is>
          <t>m²</t>
        </is>
      </c>
    </row>
    <row r="32">
      <c r="B32" s="11" t="inlineStr">
        <is>
          <t>そのときの x</t>
        </is>
      </c>
      <c r="C32" s="5">
        <f>INDEX(B10:B28,MATCH(MAX(D10:D28),D10:D28,0))</f>
        <v/>
      </c>
      <c r="D32" s="12" t="inlineStr">
        <is>
          <t>m</t>
        </is>
      </c>
    </row>
  </sheetData>
  <mergeCells count="8">
    <mergeCell ref="I9:M9"/>
    <mergeCell ref="B2:G2"/>
    <mergeCell ref="I16:M16"/>
    <mergeCell ref="I24:M27"/>
    <mergeCell ref="B4:G6"/>
    <mergeCell ref="I23:M23"/>
    <mergeCell ref="I10:M14"/>
    <mergeCell ref="I17:M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2" customHeight="1"/>
    <row r="2" ht="30" customHeight="1">
      <c r="B2" s="1" t="inlineStr">
        <is>
          <t>4. 最適価格 ／ タピオカドリンクの値段</t>
        </is>
      </c>
    </row>
    <row r="3" ht="6" customHeight="1"/>
    <row r="4" ht="22" customHeight="1">
      <c r="B4" s="2" t="inlineStr">
        <is>
          <t>需要 D = 200 − 2p (値段が上がると売れる杯数が減る、 1 次関数)。
売上 R = p × D = 1 次×1 次 → 2 次関数(放物線)。 値段 p を動かして最大売上を探す。</t>
        </is>
      </c>
    </row>
    <row r="5" ht="22" customHeight="1"/>
    <row r="6" ht="22" customHeight="1"/>
    <row r="9">
      <c r="B9" s="3" t="inlineStr">
        <is>
          <t>価格 p (円)</t>
        </is>
      </c>
      <c r="C9" s="3" t="inlineStr">
        <is>
          <t>需要 D = 200 − 2p (杯)</t>
        </is>
      </c>
      <c r="D9" s="3" t="inlineStr">
        <is>
          <t>売上 R = p × D (円)</t>
        </is>
      </c>
      <c r="I9" s="6" t="inlineStr">
        <is>
          <t>▶  黄色を埋める</t>
        </is>
      </c>
    </row>
    <row r="10">
      <c r="B10" s="4" t="n">
        <v>0</v>
      </c>
      <c r="C10" s="5">
        <f>200-2*B10</f>
        <v/>
      </c>
      <c r="D10" s="5">
        <f>B10*C10</f>
        <v/>
      </c>
      <c r="I10" s="7" t="inlineStr">
        <is>
          <t>① C10 にサンプル式 =200-2*B10 (需要) と D10 に =B10*C10 (売上) あり。
② C10 と D10 を選択 → フィルハンドルを D30 までドラッグ。</t>
        </is>
      </c>
    </row>
    <row r="11">
      <c r="B11" s="4" t="n">
        <v>5</v>
      </c>
      <c r="C11" s="5">
        <f>200-2*B11</f>
        <v/>
      </c>
      <c r="D11" s="5">
        <f>B11*C11</f>
        <v/>
      </c>
    </row>
    <row r="12">
      <c r="B12" s="4" t="n">
        <v>10</v>
      </c>
      <c r="C12" s="5">
        <f>200-2*B12</f>
        <v/>
      </c>
      <c r="D12" s="5">
        <f>B12*C12</f>
        <v/>
      </c>
    </row>
    <row r="13">
      <c r="B13" s="4" t="n">
        <v>15</v>
      </c>
      <c r="C13" s="5">
        <f>200-2*B13</f>
        <v/>
      </c>
      <c r="D13" s="5">
        <f>B13*C13</f>
        <v/>
      </c>
    </row>
    <row r="14">
      <c r="B14" s="4" t="n">
        <v>20</v>
      </c>
      <c r="C14" s="5">
        <f>200-2*B14</f>
        <v/>
      </c>
      <c r="D14" s="5">
        <f>B14*C14</f>
        <v/>
      </c>
    </row>
    <row r="15">
      <c r="B15" s="4" t="n">
        <v>25</v>
      </c>
      <c r="C15" s="5">
        <f>200-2*B15</f>
        <v/>
      </c>
      <c r="D15" s="5">
        <f>B15*C15</f>
        <v/>
      </c>
    </row>
    <row r="16">
      <c r="B16" s="4" t="n">
        <v>30</v>
      </c>
      <c r="C16" s="5">
        <f>200-2*B16</f>
        <v/>
      </c>
      <c r="D16" s="5">
        <f>B16*C16</f>
        <v/>
      </c>
      <c r="I16" s="6" t="inlineStr">
        <is>
          <t>▶  グラフで可視化</t>
        </is>
      </c>
    </row>
    <row r="17">
      <c r="B17" s="4" t="n">
        <v>35</v>
      </c>
      <c r="C17" s="5">
        <f>200-2*B17</f>
        <v/>
      </c>
      <c r="D17" s="5">
        <f>B17*C17</f>
        <v/>
      </c>
      <c r="I17" s="7" t="inlineStr">
        <is>
          <t>① B9:B30, D9:D30 を選択 → 挿入 → グラフ。
② グラフの種類を散布図に変更 → 上に凸の放物線。
③ カスタマイズ → 系列 → 「線の太さ」 を 0px から 2px 以上に上げる(これで点が線で結ばれる)。
④ 軸の最小値・最大値を ダブルクリック → カスタマイズ → 横軸/縦軸 で固定するときれい。</t>
        </is>
      </c>
    </row>
    <row r="18">
      <c r="B18" s="4" t="n">
        <v>40</v>
      </c>
      <c r="C18" s="5">
        <f>200-2*B18</f>
        <v/>
      </c>
      <c r="D18" s="5">
        <f>B18*C18</f>
        <v/>
      </c>
    </row>
    <row r="19">
      <c r="B19" s="4" t="n">
        <v>45</v>
      </c>
      <c r="C19" s="5">
        <f>200-2*B19</f>
        <v/>
      </c>
      <c r="D19" s="5">
        <f>B19*C19</f>
        <v/>
      </c>
    </row>
    <row r="20">
      <c r="B20" s="4" t="n">
        <v>50</v>
      </c>
      <c r="C20" s="5">
        <f>200-2*B20</f>
        <v/>
      </c>
      <c r="D20" s="5">
        <f>B20*C20</f>
        <v/>
      </c>
    </row>
    <row r="21">
      <c r="B21" s="4" t="n">
        <v>55</v>
      </c>
      <c r="C21" s="5">
        <f>200-2*B21</f>
        <v/>
      </c>
      <c r="D21" s="5">
        <f>B21*C21</f>
        <v/>
      </c>
    </row>
    <row r="22">
      <c r="B22" s="4" t="n">
        <v>60</v>
      </c>
      <c r="C22" s="5">
        <f>200-2*B22</f>
        <v/>
      </c>
      <c r="D22" s="5">
        <f>B22*C22</f>
        <v/>
      </c>
    </row>
    <row r="23">
      <c r="B23" s="4" t="n">
        <v>65</v>
      </c>
      <c r="C23" s="5">
        <f>200-2*B23</f>
        <v/>
      </c>
      <c r="D23" s="5">
        <f>B23*C23</f>
        <v/>
      </c>
    </row>
    <row r="24">
      <c r="B24" s="4" t="n">
        <v>70</v>
      </c>
      <c r="C24" s="5">
        <f>200-2*B24</f>
        <v/>
      </c>
      <c r="D24" s="5">
        <f>B24*C24</f>
        <v/>
      </c>
      <c r="I24" s="6" t="inlineStr">
        <is>
          <t>▶  動かしてみる</t>
        </is>
      </c>
    </row>
    <row r="25">
      <c r="B25" s="4" t="n">
        <v>75</v>
      </c>
      <c r="C25" s="5">
        <f>200-2*B25</f>
        <v/>
      </c>
      <c r="D25" s="5">
        <f>B25*C25</f>
        <v/>
      </c>
      <c r="I25" s="7" t="inlineStr">
        <is>
          <t>① C33 (最大売上) は 5000 円、 C34 (最適価格) は 50 円が答え。
② 安すぎても高すぎても損 = 放物線の頂点が「ベストの値段」。</t>
        </is>
      </c>
    </row>
    <row r="26">
      <c r="B26" s="4" t="n">
        <v>80</v>
      </c>
      <c r="C26" s="5">
        <f>200-2*B26</f>
        <v/>
      </c>
      <c r="D26" s="5">
        <f>B26*C26</f>
        <v/>
      </c>
    </row>
    <row r="27">
      <c r="B27" s="4" t="n">
        <v>85</v>
      </c>
      <c r="C27" s="5">
        <f>200-2*B27</f>
        <v/>
      </c>
      <c r="D27" s="5">
        <f>B27*C27</f>
        <v/>
      </c>
    </row>
    <row r="28">
      <c r="B28" s="4" t="n">
        <v>90</v>
      </c>
      <c r="C28" s="5">
        <f>200-2*B28</f>
        <v/>
      </c>
      <c r="D28" s="5">
        <f>B28*C28</f>
        <v/>
      </c>
    </row>
    <row r="29">
      <c r="B29" s="4" t="n">
        <v>95</v>
      </c>
      <c r="C29" s="5">
        <f>200-2*B29</f>
        <v/>
      </c>
      <c r="D29" s="5">
        <f>B29*C29</f>
        <v/>
      </c>
    </row>
    <row r="30">
      <c r="B30" s="4" t="n">
        <v>100</v>
      </c>
      <c r="C30" s="5">
        <f>200-2*B30</f>
        <v/>
      </c>
      <c r="D30" s="5">
        <f>B30*C30</f>
        <v/>
      </c>
    </row>
    <row r="33">
      <c r="B33" s="11" t="inlineStr">
        <is>
          <t>最大売上</t>
        </is>
      </c>
      <c r="C33" s="5">
        <f>MAX(D10:D30)</f>
        <v/>
      </c>
      <c r="D33" s="12" t="inlineStr">
        <is>
          <t>円</t>
        </is>
      </c>
    </row>
    <row r="34">
      <c r="B34" s="11" t="inlineStr">
        <is>
          <t>最適価格</t>
        </is>
      </c>
      <c r="C34" s="5">
        <f>INDEX(B10:B30,MATCH(MAX(D10:D30),D10:D30,0))</f>
        <v/>
      </c>
      <c r="D34" s="12" t="inlineStr">
        <is>
          <t>円</t>
        </is>
      </c>
    </row>
  </sheetData>
  <mergeCells count="8">
    <mergeCell ref="I9:M9"/>
    <mergeCell ref="B2:G2"/>
    <mergeCell ref="I16:M16"/>
    <mergeCell ref="I24:M24"/>
    <mergeCell ref="I25:M28"/>
    <mergeCell ref="B4:G6"/>
    <mergeCell ref="I10:M14"/>
    <mergeCell ref="I17:M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2" customHeight="1"/>
    <row r="2" ht="30" customHeight="1">
      <c r="B2" s="1" t="inlineStr">
        <is>
          <t>5. ベスト直線 ／ 「ズレの 2 乗の和」 を最小に</t>
        </is>
      </c>
    </row>
    <row r="3" ht="6" customHeight="1"/>
    <row r="4" ht="22" customHeight="1">
      <c r="B4" s="2" t="inlineStr">
        <is>
          <t>5 点のコーヒーデータで、 (28, 130) を必ず通る直線の傾き w を動かす。
各点での「ズレの 2 乗」 を全部足した値 E(w) を計算 → U 字の頂点が答え。</t>
        </is>
      </c>
    </row>
    <row r="5" ht="22" customHeight="1"/>
    <row r="6" ht="22" customHeight="1"/>
    <row r="9">
      <c r="B9" s="3" t="inlineStr">
        <is>
          <t>気温 x</t>
        </is>
      </c>
      <c r="C9" s="3" t="inlineStr">
        <is>
          <t>売上 y</t>
        </is>
      </c>
      <c r="D9" s="3" t="inlineStr">
        <is>
          <t>予測 = w(x−28)+130</t>
        </is>
      </c>
      <c r="E9" s="3" t="inlineStr">
        <is>
          <t>残差</t>
        </is>
      </c>
      <c r="F9" s="3" t="inlineStr">
        <is>
          <t>残差²</t>
        </is>
      </c>
      <c r="I9" s="3" t="inlineStr">
        <is>
          <t>w (傾き)</t>
        </is>
      </c>
      <c r="L9" s="6" t="inlineStr">
        <is>
          <t>▶  黄色を埋める</t>
        </is>
      </c>
    </row>
    <row r="10">
      <c r="B10" s="4" t="n">
        <v>20</v>
      </c>
      <c r="C10" s="4" t="n">
        <v>80</v>
      </c>
      <c r="D10" s="5">
        <f>$I$10*(B10-28)+130</f>
        <v/>
      </c>
      <c r="E10" s="5">
        <f>C10-D10</f>
        <v/>
      </c>
      <c r="F10" s="5">
        <f>E10^2</f>
        <v/>
      </c>
      <c r="I10" s="5" t="n">
        <v>6.5</v>
      </c>
      <c r="L10" s="7" t="inlineStr">
        <is>
          <t>① 上の表は D10/E10/F10 にサンプル式が入っている。 D10:F10 を選択して F14 までドラッグ。
② 右の表 J14 にもサンプル式 =160*I14^2-2080*I14+6800 が入っている。 J38 までドラッグ。</t>
        </is>
      </c>
    </row>
    <row r="11">
      <c r="B11" s="4" t="n">
        <v>24</v>
      </c>
      <c r="C11" s="4" t="n">
        <v>100</v>
      </c>
      <c r="D11" s="5">
        <f>$I$10*(B11-28)+130</f>
        <v/>
      </c>
      <c r="E11" s="5">
        <f>C11-D11</f>
        <v/>
      </c>
      <c r="F11" s="5">
        <f>E11^2</f>
        <v/>
      </c>
    </row>
    <row r="12">
      <c r="B12" s="4" t="n">
        <v>28</v>
      </c>
      <c r="C12" s="4" t="n">
        <v>130</v>
      </c>
      <c r="D12" s="5">
        <f>$I$10*(B12-28)+130</f>
        <v/>
      </c>
      <c r="E12" s="5">
        <f>C12-D12</f>
        <v/>
      </c>
      <c r="F12" s="5">
        <f>E12^2</f>
        <v/>
      </c>
      <c r="I12" s="11" t="inlineStr">
        <is>
          <t>w を表で並べる</t>
        </is>
      </c>
    </row>
    <row r="13">
      <c r="B13" s="4" t="n">
        <v>32</v>
      </c>
      <c r="C13" s="4" t="n">
        <v>160</v>
      </c>
      <c r="D13" s="5">
        <f>$I$10*(B13-28)+130</f>
        <v/>
      </c>
      <c r="E13" s="5">
        <f>C13-D13</f>
        <v/>
      </c>
      <c r="F13" s="5">
        <f>E13^2</f>
        <v/>
      </c>
      <c r="I13" s="3" t="inlineStr">
        <is>
          <t>w</t>
        </is>
      </c>
      <c r="J13" s="3" t="inlineStr">
        <is>
          <t>E(w)</t>
        </is>
      </c>
    </row>
    <row r="14">
      <c r="B14" s="4" t="n">
        <v>36</v>
      </c>
      <c r="C14" s="4" t="n">
        <v>180</v>
      </c>
      <c r="D14" s="5">
        <f>$I$10*(B14-28)+130</f>
        <v/>
      </c>
      <c r="E14" s="5">
        <f>C14-D14</f>
        <v/>
      </c>
      <c r="F14" s="5">
        <f>E14^2</f>
        <v/>
      </c>
      <c r="I14" s="4" t="n">
        <v>0</v>
      </c>
      <c r="J14" s="5">
        <f>160*I14^2-2080*I14+6800</f>
        <v/>
      </c>
      <c r="L14" s="6" t="inlineStr">
        <is>
          <t>▶  グラフで可視化</t>
        </is>
      </c>
    </row>
    <row r="15">
      <c r="I15" s="4" t="n">
        <v>0.5</v>
      </c>
      <c r="J15" s="5">
        <f>160*I15^2-2080*I15+6800</f>
        <v/>
      </c>
      <c r="L15" s="7" t="inlineStr">
        <is>
          <t>① I13:J38 を選択 → 挿入 → 散布図。 U 字の放物線が出る。
② カスタマイズ → 系列 → 「線の太さ」 を 2px 以上にして滑らかな U 字に。</t>
        </is>
      </c>
    </row>
    <row r="16">
      <c r="B16" s="11" t="inlineStr">
        <is>
          <t>ズレの 2 乗の合計 E(w)</t>
        </is>
      </c>
      <c r="F16" s="5">
        <f>SUM(F10:F14)</f>
        <v/>
      </c>
      <c r="I16" s="4" t="n">
        <v>1</v>
      </c>
      <c r="J16" s="5">
        <f>160*I16^2-2080*I16+6800</f>
        <v/>
      </c>
    </row>
    <row r="17">
      <c r="I17" s="4" t="n">
        <v>1.5</v>
      </c>
      <c r="J17" s="5">
        <f>160*I17^2-2080*I17+6800</f>
        <v/>
      </c>
    </row>
    <row r="18">
      <c r="I18" s="4" t="n">
        <v>2</v>
      </c>
      <c r="J18" s="5">
        <f>160*I18^2-2080*I18+6800</f>
        <v/>
      </c>
    </row>
    <row r="19">
      <c r="I19" s="4" t="n">
        <v>2.5</v>
      </c>
      <c r="J19" s="5">
        <f>160*I19^2-2080*I19+6800</f>
        <v/>
      </c>
    </row>
    <row r="20">
      <c r="I20" s="4" t="n">
        <v>3</v>
      </c>
      <c r="J20" s="5">
        <f>160*I20^2-2080*I20+6800</f>
        <v/>
      </c>
      <c r="L20" s="6" t="inlineStr">
        <is>
          <t>▶  動かしてみる</t>
        </is>
      </c>
    </row>
    <row r="21">
      <c r="I21" s="4" t="n">
        <v>3.5</v>
      </c>
      <c r="J21" s="5">
        <f>160*I21^2-2080*I21+6800</f>
        <v/>
      </c>
      <c r="L21" s="7" t="inlineStr">
        <is>
          <t>① I10 (上の w) を 0、 1、 2、 …、 13 と変えて F16 (E(w)) の動きを観察。
② 最小 E(w) は 40、 最適 w は 6.5(右の表 J39, J40 を確認)。
③ ベスト直線の傾き = 6.5、 切片 = 130 − 6.5×28 = −52。</t>
        </is>
      </c>
    </row>
    <row r="22">
      <c r="I22" s="4" t="n">
        <v>4</v>
      </c>
      <c r="J22" s="5">
        <f>160*I22^2-2080*I22+6800</f>
        <v/>
      </c>
    </row>
    <row r="23">
      <c r="I23" s="4" t="n">
        <v>4.5</v>
      </c>
      <c r="J23" s="5">
        <f>160*I23^2-2080*I23+6800</f>
        <v/>
      </c>
    </row>
    <row r="24">
      <c r="I24" s="4" t="n">
        <v>5</v>
      </c>
      <c r="J24" s="5">
        <f>160*I24^2-2080*I24+6800</f>
        <v/>
      </c>
    </row>
    <row r="25">
      <c r="I25" s="4" t="n">
        <v>5.5</v>
      </c>
      <c r="J25" s="5">
        <f>160*I25^2-2080*I25+6800</f>
        <v/>
      </c>
    </row>
    <row r="26">
      <c r="I26" s="4" t="n">
        <v>6</v>
      </c>
      <c r="J26" s="5">
        <f>160*I26^2-2080*I26+6800</f>
        <v/>
      </c>
    </row>
    <row r="27">
      <c r="I27" s="4" t="n">
        <v>6.5</v>
      </c>
      <c r="J27" s="5">
        <f>160*I27^2-2080*I27+6800</f>
        <v/>
      </c>
    </row>
    <row r="28">
      <c r="I28" s="4" t="n">
        <v>7</v>
      </c>
      <c r="J28" s="5">
        <f>160*I28^2-2080*I28+6800</f>
        <v/>
      </c>
    </row>
    <row r="29">
      <c r="I29" s="4" t="n">
        <v>7.5</v>
      </c>
      <c r="J29" s="5">
        <f>160*I29^2-2080*I29+6800</f>
        <v/>
      </c>
    </row>
    <row r="30">
      <c r="I30" s="4" t="n">
        <v>8</v>
      </c>
      <c r="J30" s="5">
        <f>160*I30^2-2080*I30+6800</f>
        <v/>
      </c>
    </row>
    <row r="31">
      <c r="I31" s="4" t="n">
        <v>8.5</v>
      </c>
      <c r="J31" s="5">
        <f>160*I31^2-2080*I31+6800</f>
        <v/>
      </c>
    </row>
    <row r="32">
      <c r="I32" s="4" t="n">
        <v>9</v>
      </c>
      <c r="J32" s="5">
        <f>160*I32^2-2080*I32+6800</f>
        <v/>
      </c>
    </row>
    <row r="33">
      <c r="I33" s="4" t="n">
        <v>9.5</v>
      </c>
      <c r="J33" s="5">
        <f>160*I33^2-2080*I33+6800</f>
        <v/>
      </c>
    </row>
    <row r="34">
      <c r="I34" s="4" t="n">
        <v>10</v>
      </c>
      <c r="J34" s="5">
        <f>160*I34^2-2080*I34+6800</f>
        <v/>
      </c>
    </row>
    <row r="35">
      <c r="I35" s="4" t="n">
        <v>10.5</v>
      </c>
      <c r="J35" s="5">
        <f>160*I35^2-2080*I35+6800</f>
        <v/>
      </c>
    </row>
    <row r="36">
      <c r="I36" s="4" t="n">
        <v>11</v>
      </c>
      <c r="J36" s="5">
        <f>160*I36^2-2080*I36+6800</f>
        <v/>
      </c>
    </row>
    <row r="37">
      <c r="I37" s="4" t="n">
        <v>11.5</v>
      </c>
      <c r="J37" s="5">
        <f>160*I37^2-2080*I37+6800</f>
        <v/>
      </c>
    </row>
    <row r="38">
      <c r="I38" s="4" t="n">
        <v>12</v>
      </c>
      <c r="J38" s="5">
        <f>160*I38^2-2080*I38+6800</f>
        <v/>
      </c>
    </row>
    <row r="39">
      <c r="I39" s="11" t="inlineStr">
        <is>
          <t>最小 E(w)</t>
        </is>
      </c>
      <c r="J39" s="5">
        <f>MIN(J14:J38)</f>
        <v/>
      </c>
    </row>
    <row r="40">
      <c r="I40" s="11" t="inlineStr">
        <is>
          <t>最適 w</t>
        </is>
      </c>
      <c r="J40" s="5">
        <f>INDEX(I14:I38,MATCH(MIN(J14:J38),J14:J38,0))</f>
        <v/>
      </c>
    </row>
  </sheetData>
  <mergeCells count="10">
    <mergeCell ref="B2:G2"/>
    <mergeCell ref="I12:J12"/>
    <mergeCell ref="L15:N18"/>
    <mergeCell ref="L14:N14"/>
    <mergeCell ref="B16:E16"/>
    <mergeCell ref="L9:N9"/>
    <mergeCell ref="B4:G6"/>
    <mergeCell ref="L20:N20"/>
    <mergeCell ref="L21:N25"/>
    <mergeCell ref="L10:N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2" customHeight="1"/>
    <row r="2" ht="30" customHeight="1">
      <c r="B2" s="1" t="inlineStr">
        <is>
          <t>6. 最小二乗法 ／ 機械が一発でベスト直線を引く</t>
        </is>
      </c>
    </row>
    <row r="3" ht="6" customHeight="1"/>
    <row r="4" ht="22" customHeight="1">
      <c r="B4" s="2" t="inlineStr">
        <is>
          <t>住宅 8 件の (広さ, 価格) データから、 SLOPE 関数と INTERCEPT 関数で
a (傾き) と b (切片) を一発で計算する。 これが Python の polyfit の中身。</t>
        </is>
      </c>
    </row>
    <row r="5" ht="22" customHeight="1"/>
    <row r="6" ht="22" customHeight="1"/>
    <row r="9">
      <c r="B9" s="3" t="inlineStr">
        <is>
          <t>広さ x (m²)</t>
        </is>
      </c>
      <c r="C9" s="3" t="inlineStr">
        <is>
          <t>価格 y (万円)</t>
        </is>
      </c>
      <c r="D9" s="3" t="inlineStr">
        <is>
          <t>予測 = a x + b</t>
        </is>
      </c>
      <c r="E9" s="3" t="inlineStr">
        <is>
          <t>残差</t>
        </is>
      </c>
      <c r="I9" s="11" t="inlineStr">
        <is>
          <t>SLOPE / INTERCEPT で一発</t>
        </is>
      </c>
    </row>
    <row r="10">
      <c r="B10" s="4" t="n">
        <v>30</v>
      </c>
      <c r="C10" s="4" t="n">
        <v>1500</v>
      </c>
      <c r="D10" s="5">
        <f>$J$10*B10+$J$11</f>
        <v/>
      </c>
      <c r="E10" s="5">
        <f>C10-D10</f>
        <v/>
      </c>
      <c r="I10" s="13" t="inlineStr">
        <is>
          <t>a (SLOPE)</t>
        </is>
      </c>
      <c r="J10" s="5">
        <f>SLOPE(C10:C17,B10:B17)</f>
        <v/>
      </c>
    </row>
    <row r="11">
      <c r="B11" s="4" t="n">
        <v>40</v>
      </c>
      <c r="C11" s="4" t="n">
        <v>1950</v>
      </c>
      <c r="D11" s="5">
        <f>$J$10*B11+$J$11</f>
        <v/>
      </c>
      <c r="E11" s="5">
        <f>C11-D11</f>
        <v/>
      </c>
      <c r="I11" s="13" t="inlineStr">
        <is>
          <t>b (INTERCEPT)</t>
        </is>
      </c>
      <c r="J11" s="5">
        <f>INTERCEPT(C10:C17,B10:B17)</f>
        <v/>
      </c>
    </row>
    <row r="12">
      <c r="B12" s="4" t="n">
        <v>50</v>
      </c>
      <c r="C12" s="4" t="n">
        <v>2150</v>
      </c>
      <c r="D12" s="5">
        <f>$J$10*B12+$J$11</f>
        <v/>
      </c>
      <c r="E12" s="5">
        <f>C12-D12</f>
        <v/>
      </c>
      <c r="I12" s="13" t="inlineStr">
        <is>
          <t>R² (RSQ)</t>
        </is>
      </c>
      <c r="J12" s="5">
        <f>RSQ(C10:C17,B10:B17)</f>
        <v/>
      </c>
    </row>
    <row r="13">
      <c r="B13" s="4" t="n">
        <v>60</v>
      </c>
      <c r="C13" s="4" t="n">
        <v>2700</v>
      </c>
      <c r="D13" s="5">
        <f>$J$10*B13+$J$11</f>
        <v/>
      </c>
      <c r="E13" s="5">
        <f>C13-D13</f>
        <v/>
      </c>
    </row>
    <row r="14">
      <c r="B14" s="4" t="n">
        <v>70</v>
      </c>
      <c r="C14" s="4" t="n">
        <v>3000</v>
      </c>
      <c r="D14" s="5">
        <f>$J$10*B14+$J$11</f>
        <v/>
      </c>
      <c r="E14" s="5">
        <f>C14-D14</f>
        <v/>
      </c>
      <c r="I14" s="6" t="inlineStr">
        <is>
          <t>▶  黄色を埋める</t>
        </is>
      </c>
    </row>
    <row r="15">
      <c r="B15" s="4" t="n">
        <v>80</v>
      </c>
      <c r="C15" s="4" t="n">
        <v>3250</v>
      </c>
      <c r="D15" s="5">
        <f>$J$10*B15+$J$11</f>
        <v/>
      </c>
      <c r="E15" s="5">
        <f>C15-D15</f>
        <v/>
      </c>
      <c r="I15" s="7" t="inlineStr">
        <is>
          <t>① J10, J11, J12 に SLOPE / INTERCEPT / RSQ 関数の式が入っている。
② D10 のサンプル式 =J10*B10+J11 を D17 までドラッグ。 E10 も E17 までドラッグ。
③ J10 = 35.00、 J11 = 500、 R² ≈ 0.99(高い相関)。</t>
        </is>
      </c>
    </row>
    <row r="16">
      <c r="B16" s="4" t="n">
        <v>90</v>
      </c>
      <c r="C16" s="4" t="n">
        <v>3750</v>
      </c>
      <c r="D16" s="5">
        <f>$J$10*B16+$J$11</f>
        <v/>
      </c>
      <c r="E16" s="5">
        <f>C16-D16</f>
        <v/>
      </c>
    </row>
    <row r="17">
      <c r="B17" s="4" t="n">
        <v>100</v>
      </c>
      <c r="C17" s="4" t="n">
        <v>3900</v>
      </c>
      <c r="D17" s="5">
        <f>$J$10*B17+$J$11</f>
        <v/>
      </c>
      <c r="E17" s="5">
        <f>C17-D17</f>
        <v/>
      </c>
    </row>
    <row r="18"/>
    <row r="19">
      <c r="B19" s="11" t="inlineStr">
        <is>
          <t>ズレの 2 乗の和</t>
        </is>
      </c>
      <c r="E19" s="5">
        <f>SUMPRODUCT(E10:E17,E10:E17)</f>
        <v/>
      </c>
    </row>
    <row r="20">
      <c r="I20" s="6" t="inlineStr">
        <is>
          <t>▶  グラフで可視化</t>
        </is>
      </c>
    </row>
    <row r="21">
      <c r="B21" s="11" t="inlineStr">
        <is>
          <t>広さ 80 m² の予測価格</t>
        </is>
      </c>
      <c r="E21" s="5">
        <f>$J$10*80+$J$11</f>
        <v/>
      </c>
      <c r="F21" s="12" t="inlineStr">
        <is>
          <t>万円</t>
        </is>
      </c>
      <c r="I21" s="7" t="inlineStr">
        <is>
          <t>① B9:D17 (広さ・価格・予測 の 3 列) を選択 → 挿入 → グラフ → 「散布図」 に変更。
② 実測点(価格) と予測直線が自動で 2 系列に分かれる。
③ カスタマイズ → 系列 → 「予測」 系列を選び、 「線の太さ」 を 2px に上げる(点はそのまま、直線が伸びる)。</t>
        </is>
      </c>
    </row>
    <row r="22"/>
    <row r="23"/>
    <row r="24"/>
    <row r="25"/>
    <row r="27">
      <c r="I27" s="6" t="inlineStr">
        <is>
          <t>▶  動かしてみる</t>
        </is>
      </c>
    </row>
    <row r="28">
      <c r="I28" s="7" t="inlineStr">
        <is>
          <t>Excel/Sheets の SLOPE / INTERCEPT は、 Python の np.polyfit(x, y, 1) と
同じ「最小二乗法」 を解いている。 この一行 / 二関数の中身が、 今日の主役。
広さ 80 m² の予測価格 = 35×80 + 500 = 3300 万円。</t>
        </is>
      </c>
    </row>
    <row r="29"/>
    <row r="30"/>
    <row r="31"/>
  </sheetData>
  <mergeCells count="11">
    <mergeCell ref="B2:G2"/>
    <mergeCell ref="I14:L14"/>
    <mergeCell ref="B19:D19"/>
    <mergeCell ref="I28:L31"/>
    <mergeCell ref="I9:K9"/>
    <mergeCell ref="I21:L25"/>
    <mergeCell ref="I27:L27"/>
    <mergeCell ref="I20:L20"/>
    <mergeCell ref="B21:D21"/>
    <mergeCell ref="B4:G6"/>
    <mergeCell ref="I15:L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2" customHeight="1"/>
    <row r="2" ht="30" customHeight="1">
      <c r="B2" s="1" t="inlineStr">
        <is>
          <t>演習問題 ①  基本</t>
        </is>
      </c>
    </row>
    <row r="3" ht="6" customHeight="1"/>
    <row r="4" ht="22" customHeight="1">
      <c r="B4" s="2" t="inlineStr">
        <is>
          <t>黄色セルに式を入れる → ドラッグで広げる → グラフで可視化する。
この 3 つの流れを自分の手で実行する。</t>
        </is>
      </c>
    </row>
    <row r="5" ht="22" customHeight="1"/>
    <row r="6" ht="22" customHeight="1"/>
    <row r="8">
      <c r="B8" s="14" t="inlineStr">
        <is>
          <t xml:space="preserve">  Q1   気温と来店客数 ／ 自分で線を引く</t>
        </is>
      </c>
    </row>
    <row r="10" ht="22" customHeight="1">
      <c r="B10" s="15" t="inlineStr">
        <is>
          <t>別の店舗で「気温」 と「来店客数」 を 6 日間記録した。
自分で a と b を当てはめて予測線を作り、 ズレを観察する。</t>
        </is>
      </c>
    </row>
    <row r="11" ht="22" customHeight="1"/>
    <row r="12" ht="22" customHeight="1"/>
    <row r="14">
      <c r="B14" s="3" t="inlineStr">
        <is>
          <t>気温 x</t>
        </is>
      </c>
      <c r="C14" s="3" t="inlineStr">
        <is>
          <t>来店客数 y</t>
        </is>
      </c>
      <c r="D14" s="3" t="inlineStr">
        <is>
          <t>予測 = a x + b</t>
        </is>
      </c>
      <c r="E14" s="3" t="inlineStr">
        <is>
          <t>残差</t>
        </is>
      </c>
      <c r="I14" s="3" t="inlineStr">
        <is>
          <t>a</t>
        </is>
      </c>
      <c r="J14" s="3" t="inlineStr">
        <is>
          <t>b</t>
        </is>
      </c>
      <c r="L14" s="6" t="inlineStr">
        <is>
          <t>▶  黄色を埋める</t>
        </is>
      </c>
    </row>
    <row r="15">
      <c r="B15" s="4" t="n">
        <v>15</v>
      </c>
      <c r="C15" s="4" t="n">
        <v>55</v>
      </c>
      <c r="D15" s="5">
        <f>$I$15*B15+$J$15</f>
        <v/>
      </c>
      <c r="E15" s="5">
        <f>C15-D15</f>
        <v/>
      </c>
      <c r="I15" s="5" t="n">
        <v>3</v>
      </c>
      <c r="J15" s="5" t="n">
        <v>10</v>
      </c>
      <c r="L15" s="7" t="inlineStr">
        <is>
          <t>① D15, E15 のサンプル式 → D20, E20 までドラッグ。
② I15 (a) と J15 (b) を変えて、 残差合計 (D22) が小さくなるよう探す。
③ a = 3, b = 10 で残差合計が 0 になる(完全線形)。</t>
        </is>
      </c>
    </row>
    <row r="16">
      <c r="B16" s="4" t="n">
        <v>20</v>
      </c>
      <c r="C16" s="4" t="n">
        <v>70</v>
      </c>
      <c r="D16" s="5">
        <f>$I$15*B16+$J$15</f>
        <v/>
      </c>
      <c r="E16" s="5">
        <f>C16-D16</f>
        <v/>
      </c>
    </row>
    <row r="17">
      <c r="B17" s="4" t="n">
        <v>25</v>
      </c>
      <c r="C17" s="4" t="n">
        <v>85</v>
      </c>
      <c r="D17" s="5">
        <f>$I$15*B17+$J$15</f>
        <v/>
      </c>
      <c r="E17" s="5">
        <f>C17-D17</f>
        <v/>
      </c>
    </row>
    <row r="18">
      <c r="B18" s="4" t="n">
        <v>30</v>
      </c>
      <c r="C18" s="4" t="n">
        <v>100</v>
      </c>
      <c r="D18" s="5">
        <f>$I$15*B18+$J$15</f>
        <v/>
      </c>
      <c r="E18" s="5">
        <f>C18-D18</f>
        <v/>
      </c>
    </row>
    <row r="19">
      <c r="B19" s="4" t="n">
        <v>35</v>
      </c>
      <c r="C19" s="4" t="n">
        <v>115</v>
      </c>
      <c r="D19" s="5">
        <f>$I$15*B19+$J$15</f>
        <v/>
      </c>
      <c r="E19" s="5">
        <f>C19-D19</f>
        <v/>
      </c>
    </row>
    <row r="20">
      <c r="B20" s="4" t="n">
        <v>40</v>
      </c>
      <c r="C20" s="4" t="n">
        <v>130</v>
      </c>
      <c r="D20" s="5">
        <f>$I$15*B20+$J$15</f>
        <v/>
      </c>
      <c r="E20" s="5">
        <f>C20-D20</f>
        <v/>
      </c>
    </row>
    <row r="22">
      <c r="B22" s="11" t="inlineStr">
        <is>
          <t>残差の絶対値合計</t>
        </is>
      </c>
      <c r="D22" s="5">
        <f>ABS(E15)+ABS(E16)+ABS(E17)+ABS(E18)+ABS(E19)+ABS(E20)</f>
        <v/>
      </c>
    </row>
    <row r="25">
      <c r="B25" s="14" t="inlineStr">
        <is>
          <t xml:space="preserve">  Q2   機械にやらせる(最小二乗法)</t>
        </is>
      </c>
    </row>
    <row r="26">
      <c r="L26" s="6" t="inlineStr">
        <is>
          <t>▶  動かしてみる</t>
        </is>
      </c>
    </row>
    <row r="27">
      <c r="B27" s="15" t="inlineStr">
        <is>
          <t>Q1 と同じデータで、 SLOPE / INTERCEPT で a と b を一発計算する。</t>
        </is>
      </c>
      <c r="L27" s="7" t="inlineStr">
        <is>
          <t>Q1 で自分で当てはめた a, b と、 C30, C31 の機械の答え (a=3, b=10) を比べる。
このデータは完全に直線上にあるので、 機械の答えなら残差合計が 0 になる。</t>
        </is>
      </c>
    </row>
    <row r="28"/>
    <row r="29"/>
    <row r="30">
      <c r="B30" s="16" t="inlineStr">
        <is>
          <t>a (SLOPE)</t>
        </is>
      </c>
      <c r="C30" s="5">
        <f>SLOPE(C15:C20,B15:B20)</f>
        <v/>
      </c>
    </row>
    <row r="31">
      <c r="B31" s="16" t="inlineStr">
        <is>
          <t>b (INTERCEPT)</t>
        </is>
      </c>
      <c r="C31" s="5">
        <f>INTERCEPT(C15:C20,B15:B20)</f>
        <v/>
      </c>
    </row>
    <row r="32">
      <c r="B32" s="16" t="inlineStr">
        <is>
          <t>R²</t>
        </is>
      </c>
      <c r="C32" s="5">
        <f>RSQ(C15:C20,B15:B20)</f>
        <v/>
      </c>
    </row>
  </sheetData>
  <mergeCells count="11">
    <mergeCell ref="B2:G2"/>
    <mergeCell ref="L15:N18"/>
    <mergeCell ref="L14:N14"/>
    <mergeCell ref="L27:N30"/>
    <mergeCell ref="B8:G8"/>
    <mergeCell ref="B27:G28"/>
    <mergeCell ref="B22:C22"/>
    <mergeCell ref="B4:G6"/>
    <mergeCell ref="B10:G12"/>
    <mergeCell ref="L26:N26"/>
    <mergeCell ref="B25:G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2" customHeight="1"/>
    <row r="2" ht="30" customHeight="1">
      <c r="B2" s="1" t="inlineStr">
        <is>
          <t>演習問題 ②  応用</t>
        </is>
      </c>
    </row>
    <row r="3" ht="6" customHeight="1"/>
    <row r="4" ht="22" customHeight="1">
      <c r="B4" s="2" t="inlineStr">
        <is>
          <t>車のブレーキ距離(2 次関数)と、 損益分岐点(1 次関数 2 本の交点)。
元 PDF の演習問題から 2 つを Sheets で再現する。</t>
        </is>
      </c>
    </row>
    <row r="5" ht="22" customHeight="1"/>
    <row r="6" ht="22" customHeight="1"/>
    <row r="8">
      <c r="B8" s="14" t="inlineStr">
        <is>
          <t xml:space="preserve">  Q1   制動距離 d = 0.05 v² + 0.2 v</t>
        </is>
      </c>
    </row>
    <row r="10">
      <c r="B10" s="15" t="inlineStr">
        <is>
          <t>車の速度 v (km/h) と、 ブレーキをかけてから止まるまでの距離 d (m) は
d = 0.05 v² + 0.2 v で近似される。 v を動かして d がどう変わるか観察。</t>
        </is>
      </c>
    </row>
    <row r="11"/>
    <row r="12"/>
    <row r="14">
      <c r="B14" s="3" t="inlineStr">
        <is>
          <t>速度 v (km/h)</t>
        </is>
      </c>
      <c r="C14" s="3" t="inlineStr">
        <is>
          <t>制動距離 d (m)</t>
        </is>
      </c>
      <c r="I14" s="6" t="inlineStr">
        <is>
          <t>▶  黄色を埋める</t>
        </is>
      </c>
    </row>
    <row r="15">
      <c r="B15" s="4" t="n">
        <v>0</v>
      </c>
      <c r="C15" s="5">
        <f>0.05*B15^2+0.2*B15</f>
        <v/>
      </c>
      <c r="I15" s="7" t="inlineStr">
        <is>
          <t>① C15 のサンプル式 =0.05*B15^2+0.2*B15 を C25 までドラッグ。
② B14:C25 を選択 → 散布図 → 2 次関数の右半分が現れる(下に凸)。
③ カスタマイズ → 系列 → 「線の太さ」 を 2px に上げて滑らかに。</t>
        </is>
      </c>
    </row>
    <row r="16">
      <c r="B16" s="4" t="n">
        <v>10</v>
      </c>
      <c r="C16" s="5">
        <f>0.05*B16^2+0.2*B16</f>
        <v/>
      </c>
    </row>
    <row r="17">
      <c r="B17" s="4" t="n">
        <v>20</v>
      </c>
      <c r="C17" s="5">
        <f>0.05*B17^2+0.2*B17</f>
        <v/>
      </c>
    </row>
    <row r="18">
      <c r="B18" s="4" t="n">
        <v>30</v>
      </c>
      <c r="C18" s="5">
        <f>0.05*B18^2+0.2*B18</f>
        <v/>
      </c>
    </row>
    <row r="19">
      <c r="B19" s="4" t="n">
        <v>40</v>
      </c>
      <c r="C19" s="5">
        <f>0.05*B19^2+0.2*B19</f>
        <v/>
      </c>
    </row>
    <row r="20">
      <c r="B20" s="4" t="n">
        <v>50</v>
      </c>
      <c r="C20" s="5">
        <f>0.05*B20^2+0.2*B20</f>
        <v/>
      </c>
    </row>
    <row r="21">
      <c r="B21" s="4" t="n">
        <v>60</v>
      </c>
      <c r="C21" s="5">
        <f>0.05*B21^2+0.2*B21</f>
        <v/>
      </c>
      <c r="I21" s="6" t="inlineStr">
        <is>
          <t>▶  動かしてみる</t>
        </is>
      </c>
    </row>
    <row r="22">
      <c r="B22" s="4" t="n">
        <v>70</v>
      </c>
      <c r="C22" s="5">
        <f>0.05*B22^2+0.2*B22</f>
        <v/>
      </c>
      <c r="I22" s="7" t="inlineStr">
        <is>
          <t>① 60 km/h で 192 m、 100 km/h で 520 m。 速度が 1.67 倍になると距離は 2.7 倍に。
② 速度の 2 乗で距離が伸びる = 安全距離は速度に比例ではなく 2 乗に比例。</t>
        </is>
      </c>
    </row>
    <row r="23">
      <c r="B23" s="4" t="n">
        <v>80</v>
      </c>
      <c r="C23" s="5">
        <f>0.05*B23^2+0.2*B23</f>
        <v/>
      </c>
    </row>
    <row r="24">
      <c r="B24" s="4" t="n">
        <v>90</v>
      </c>
      <c r="C24" s="5">
        <f>0.05*B24^2+0.2*B24</f>
        <v/>
      </c>
    </row>
    <row r="25">
      <c r="B25" s="4" t="n">
        <v>100</v>
      </c>
      <c r="C25" s="5">
        <f>0.05*B25^2+0.2*B25</f>
        <v/>
      </c>
    </row>
    <row r="26">
      <c r="B26" s="11" t="inlineStr">
        <is>
          <t>60 km/h での距離</t>
        </is>
      </c>
      <c r="C26" s="5">
        <f>0.05*60^2+0.2*60</f>
        <v/>
      </c>
      <c r="D26" s="12" t="inlineStr">
        <is>
          <t>m</t>
        </is>
      </c>
    </row>
    <row r="29">
      <c r="B29" s="14" t="inlineStr">
        <is>
          <t xml:space="preserve">  Q2   損益分岐点 ／ 製造数量 x で売上とコストが一致する点</t>
        </is>
      </c>
    </row>
    <row r="31">
      <c r="B31" s="15" t="inlineStr">
        <is>
          <t>コスト = 200 x + 15000、 売上 = 500 x。 何個売れば赤字が黒字になる?</t>
        </is>
      </c>
    </row>
    <row r="32"/>
    <row r="34">
      <c r="B34" s="3" t="inlineStr">
        <is>
          <t>個数 x</t>
        </is>
      </c>
      <c r="C34" s="3" t="inlineStr">
        <is>
          <t>コスト = 200x + 15000</t>
        </is>
      </c>
      <c r="D34" s="3" t="inlineStr">
        <is>
          <t>売上 = 500x</t>
        </is>
      </c>
      <c r="E34" s="3" t="inlineStr">
        <is>
          <t>利益 = 売上 − コスト</t>
        </is>
      </c>
      <c r="I34" s="6" t="inlineStr">
        <is>
          <t>▶  黄色を埋める</t>
        </is>
      </c>
    </row>
    <row r="35">
      <c r="B35" s="4" t="n">
        <v>0</v>
      </c>
      <c r="C35" s="5">
        <f>200*B35+15000</f>
        <v/>
      </c>
      <c r="D35" s="5">
        <f>500*B35</f>
        <v/>
      </c>
      <c r="E35" s="5">
        <f>D35-C35</f>
        <v/>
      </c>
      <c r="I35" s="7" t="inlineStr">
        <is>
          <t>① C35:E35 のサンプル式を E45 までドラッグ。
② B34:D45 を選択(個数・コスト・売上 の 3 列) → 散布図 → 2 本の直線が交差。
③ カスタマイズ → 系列 → 両系列とも「線の太さ」 を 2px 以上に上げる。</t>
        </is>
      </c>
    </row>
    <row r="36">
      <c r="B36" s="4" t="n">
        <v>10</v>
      </c>
      <c r="C36" s="5">
        <f>200*B36+15000</f>
        <v/>
      </c>
      <c r="D36" s="5">
        <f>500*B36</f>
        <v/>
      </c>
      <c r="E36" s="5">
        <f>D36-C36</f>
        <v/>
      </c>
    </row>
    <row r="37">
      <c r="B37" s="4" t="n">
        <v>20</v>
      </c>
      <c r="C37" s="5">
        <f>200*B37+15000</f>
        <v/>
      </c>
      <c r="D37" s="5">
        <f>500*B37</f>
        <v/>
      </c>
      <c r="E37" s="5">
        <f>D37-C37</f>
        <v/>
      </c>
    </row>
    <row r="38">
      <c r="B38" s="4" t="n">
        <v>30</v>
      </c>
      <c r="C38" s="5">
        <f>200*B38+15000</f>
        <v/>
      </c>
      <c r="D38" s="5">
        <f>500*B38</f>
        <v/>
      </c>
      <c r="E38" s="5">
        <f>D38-C38</f>
        <v/>
      </c>
    </row>
    <row r="39">
      <c r="B39" s="4" t="n">
        <v>40</v>
      </c>
      <c r="C39" s="5">
        <f>200*B39+15000</f>
        <v/>
      </c>
      <c r="D39" s="5">
        <f>500*B39</f>
        <v/>
      </c>
      <c r="E39" s="5">
        <f>D39-C39</f>
        <v/>
      </c>
    </row>
    <row r="40">
      <c r="B40" s="4" t="n">
        <v>50</v>
      </c>
      <c r="C40" s="5">
        <f>200*B40+15000</f>
        <v/>
      </c>
      <c r="D40" s="5">
        <f>500*B40</f>
        <v/>
      </c>
      <c r="E40" s="5">
        <f>D40-C40</f>
        <v/>
      </c>
    </row>
    <row r="41">
      <c r="B41" s="4" t="n">
        <v>60</v>
      </c>
      <c r="C41" s="5">
        <f>200*B41+15000</f>
        <v/>
      </c>
      <c r="D41" s="5">
        <f>500*B41</f>
        <v/>
      </c>
      <c r="E41" s="5">
        <f>D41-C41</f>
        <v/>
      </c>
      <c r="I41" s="6" t="inlineStr">
        <is>
          <t>▶  動かしてみる</t>
        </is>
      </c>
    </row>
    <row r="42">
      <c r="B42" s="4" t="n">
        <v>70</v>
      </c>
      <c r="C42" s="5">
        <f>200*B42+15000</f>
        <v/>
      </c>
      <c r="D42" s="5">
        <f>500*B42</f>
        <v/>
      </c>
      <c r="E42" s="5">
        <f>D42-C42</f>
        <v/>
      </c>
      <c r="I42" s="7" t="inlineStr">
        <is>
          <t>① 交点 = 損益分岐点。 C47 = 50 個。
② 50 個で売上 = コスト = 25000 円。 これを超えたら黒字。</t>
        </is>
      </c>
    </row>
    <row r="43">
      <c r="B43" s="4" t="n">
        <v>80</v>
      </c>
      <c r="C43" s="5">
        <f>200*B43+15000</f>
        <v/>
      </c>
      <c r="D43" s="5">
        <f>500*B43</f>
        <v/>
      </c>
      <c r="E43" s="5">
        <f>D43-C43</f>
        <v/>
      </c>
    </row>
    <row r="44">
      <c r="B44" s="4" t="n">
        <v>90</v>
      </c>
      <c r="C44" s="5">
        <f>200*B44+15000</f>
        <v/>
      </c>
      <c r="D44" s="5">
        <f>500*B44</f>
        <v/>
      </c>
      <c r="E44" s="5">
        <f>D44-C44</f>
        <v/>
      </c>
    </row>
    <row r="45">
      <c r="B45" s="4" t="n">
        <v>100</v>
      </c>
      <c r="C45" s="5">
        <f>200*B45+15000</f>
        <v/>
      </c>
      <c r="D45" s="5">
        <f>500*B45</f>
        <v/>
      </c>
      <c r="E45" s="5">
        <f>D45-C45</f>
        <v/>
      </c>
    </row>
    <row r="46"/>
    <row r="47">
      <c r="B47" s="11" t="inlineStr">
        <is>
          <t>損益分岐点</t>
        </is>
      </c>
      <c r="C47" s="5">
        <f>15000/(500-200)</f>
        <v/>
      </c>
      <c r="D47" s="12" t="inlineStr">
        <is>
          <t>個</t>
        </is>
      </c>
    </row>
  </sheetData>
  <mergeCells count="14">
    <mergeCell ref="B2:G2"/>
    <mergeCell ref="I14:L14"/>
    <mergeCell ref="I35:L39"/>
    <mergeCell ref="I21:L21"/>
    <mergeCell ref="I34:L34"/>
    <mergeCell ref="B31:G32"/>
    <mergeCell ref="B8:G8"/>
    <mergeCell ref="I15:L19"/>
    <mergeCell ref="B4:G6"/>
    <mergeCell ref="B10:G12"/>
    <mergeCell ref="I41:L41"/>
    <mergeCell ref="I42:L46"/>
    <mergeCell ref="B29:G29"/>
    <mergeCell ref="I22:L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M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2" customHeight="1"/>
    <row r="2" ht="30" customHeight="1">
      <c r="B2" s="1" t="inlineStr">
        <is>
          <t>挑戦① 広告費の最適化</t>
        </is>
      </c>
    </row>
    <row r="3" ht="6" customHeight="1"/>
    <row r="4" ht="22" customHeight="1">
      <c r="B4" s="2" t="inlineStr">
        <is>
          <t>ある商品の売上モデル: 売上 = 10 R − 0.05 R² (R = 広告費・万円)。
広告にいくら使うと利益が最大?  利益 = 売上 − 広告費。</t>
        </is>
      </c>
    </row>
    <row r="5" ht="22" customHeight="1"/>
    <row r="6" ht="22" customHeight="1"/>
    <row r="9">
      <c r="B9" s="3" t="inlineStr">
        <is>
          <t>広告費 R (万円)</t>
        </is>
      </c>
      <c r="C9" s="3" t="inlineStr">
        <is>
          <t>売上 = 10 R − 0.05 R² (万円)</t>
        </is>
      </c>
      <c r="D9" s="3" t="inlineStr">
        <is>
          <t>利益 = 売上 − R (万円)</t>
        </is>
      </c>
      <c r="I9" s="6" t="inlineStr">
        <is>
          <t>▶  黄色を埋める</t>
        </is>
      </c>
    </row>
    <row r="10">
      <c r="B10" s="4" t="n">
        <v>0</v>
      </c>
      <c r="C10" s="5">
        <f>10*B10-0.05*B10^2</f>
        <v/>
      </c>
      <c r="D10" s="5">
        <f>C10-B10</f>
        <v/>
      </c>
      <c r="I10" s="7" t="inlineStr">
        <is>
          <t>① C10, D10 のサンプル式を D30 までドラッグ。
② B9:D30 を選択(広告費・売上・利益 の 3 列) → 散布図 → 売上と利益の 2 本の曲線。
③ カスタマイズ → 系列 → 両系列とも「線の太さ」 を 2px 以上に上げる。</t>
        </is>
      </c>
    </row>
    <row r="11">
      <c r="B11" s="4" t="n">
        <v>5</v>
      </c>
      <c r="C11" s="5">
        <f>10*B11-0.05*B11^2</f>
        <v/>
      </c>
      <c r="D11" s="5">
        <f>C11-B11</f>
        <v/>
      </c>
    </row>
    <row r="12">
      <c r="B12" s="4" t="n">
        <v>10</v>
      </c>
      <c r="C12" s="5">
        <f>10*B12-0.05*B12^2</f>
        <v/>
      </c>
      <c r="D12" s="5">
        <f>C12-B12</f>
        <v/>
      </c>
    </row>
    <row r="13">
      <c r="B13" s="4" t="n">
        <v>15</v>
      </c>
      <c r="C13" s="5">
        <f>10*B13-0.05*B13^2</f>
        <v/>
      </c>
      <c r="D13" s="5">
        <f>C13-B13</f>
        <v/>
      </c>
    </row>
    <row r="14">
      <c r="B14" s="4" t="n">
        <v>20</v>
      </c>
      <c r="C14" s="5">
        <f>10*B14-0.05*B14^2</f>
        <v/>
      </c>
      <c r="D14" s="5">
        <f>C14-B14</f>
        <v/>
      </c>
    </row>
    <row r="15">
      <c r="B15" s="4" t="n">
        <v>25</v>
      </c>
      <c r="C15" s="5">
        <f>10*B15-0.05*B15^2</f>
        <v/>
      </c>
      <c r="D15" s="5">
        <f>C15-B15</f>
        <v/>
      </c>
    </row>
    <row r="16">
      <c r="B16" s="4" t="n">
        <v>30</v>
      </c>
      <c r="C16" s="5">
        <f>10*B16-0.05*B16^2</f>
        <v/>
      </c>
      <c r="D16" s="5">
        <f>C16-B16</f>
        <v/>
      </c>
      <c r="I16" s="6" t="inlineStr">
        <is>
          <t>▶  動かしてみる</t>
        </is>
      </c>
    </row>
    <row r="17">
      <c r="B17" s="4" t="n">
        <v>35</v>
      </c>
      <c r="C17" s="5">
        <f>10*B17-0.05*B17^2</f>
        <v/>
      </c>
      <c r="D17" s="5">
        <f>C17-B17</f>
        <v/>
      </c>
      <c r="I17" s="7" t="inlineStr">
        <is>
          <t>① 売上は R = 100 で最大(放物線の頂点)、 でも利益は R = 90 で最大。
② 売上だけ追うと「過剰投資」 になる。 利益で判断するのが経営的に正解。
③ 数式: 利益 = 9R − 0.05R² → 頂点 R = 9/(2×0.05) = 90 万円、 利益 405 万円。</t>
        </is>
      </c>
    </row>
    <row r="18">
      <c r="B18" s="4" t="n">
        <v>40</v>
      </c>
      <c r="C18" s="5">
        <f>10*B18-0.05*B18^2</f>
        <v/>
      </c>
      <c r="D18" s="5">
        <f>C18-B18</f>
        <v/>
      </c>
    </row>
    <row r="19">
      <c r="B19" s="4" t="n">
        <v>45</v>
      </c>
      <c r="C19" s="5">
        <f>10*B19-0.05*B19^2</f>
        <v/>
      </c>
      <c r="D19" s="5">
        <f>C19-B19</f>
        <v/>
      </c>
    </row>
    <row r="20">
      <c r="B20" s="4" t="n">
        <v>50</v>
      </c>
      <c r="C20" s="5">
        <f>10*B20-0.05*B20^2</f>
        <v/>
      </c>
      <c r="D20" s="5">
        <f>C20-B20</f>
        <v/>
      </c>
    </row>
    <row r="21">
      <c r="B21" s="4" t="n">
        <v>55</v>
      </c>
      <c r="C21" s="5">
        <f>10*B21-0.05*B21^2</f>
        <v/>
      </c>
      <c r="D21" s="5">
        <f>C21-B21</f>
        <v/>
      </c>
    </row>
    <row r="22">
      <c r="B22" s="4" t="n">
        <v>60</v>
      </c>
      <c r="C22" s="5">
        <f>10*B22-0.05*B22^2</f>
        <v/>
      </c>
      <c r="D22" s="5">
        <f>C22-B22</f>
        <v/>
      </c>
    </row>
    <row r="23">
      <c r="B23" s="4" t="n">
        <v>65</v>
      </c>
      <c r="C23" s="5">
        <f>10*B23-0.05*B23^2</f>
        <v/>
      </c>
      <c r="D23" s="5">
        <f>C23-B23</f>
        <v/>
      </c>
    </row>
    <row r="24">
      <c r="B24" s="4" t="n">
        <v>70</v>
      </c>
      <c r="C24" s="5">
        <f>10*B24-0.05*B24^2</f>
        <v/>
      </c>
      <c r="D24" s="5">
        <f>C24-B24</f>
        <v/>
      </c>
    </row>
    <row r="25">
      <c r="B25" s="4" t="n">
        <v>75</v>
      </c>
      <c r="C25" s="5">
        <f>10*B25-0.05*B25^2</f>
        <v/>
      </c>
      <c r="D25" s="5">
        <f>C25-B25</f>
        <v/>
      </c>
    </row>
    <row r="26">
      <c r="B26" s="4" t="n">
        <v>80</v>
      </c>
      <c r="C26" s="5">
        <f>10*B26-0.05*B26^2</f>
        <v/>
      </c>
      <c r="D26" s="5">
        <f>C26-B26</f>
        <v/>
      </c>
    </row>
    <row r="27">
      <c r="B27" s="4" t="n">
        <v>85</v>
      </c>
      <c r="C27" s="5">
        <f>10*B27-0.05*B27^2</f>
        <v/>
      </c>
      <c r="D27" s="5">
        <f>C27-B27</f>
        <v/>
      </c>
    </row>
    <row r="28">
      <c r="B28" s="4" t="n">
        <v>90</v>
      </c>
      <c r="C28" s="5">
        <f>10*B28-0.05*B28^2</f>
        <v/>
      </c>
      <c r="D28" s="5">
        <f>C28-B28</f>
        <v/>
      </c>
    </row>
    <row r="29">
      <c r="B29" s="4" t="n">
        <v>95</v>
      </c>
      <c r="C29" s="5">
        <f>10*B29-0.05*B29^2</f>
        <v/>
      </c>
      <c r="D29" s="5">
        <f>C29-B29</f>
        <v/>
      </c>
    </row>
    <row r="30">
      <c r="B30" s="4" t="n">
        <v>100</v>
      </c>
      <c r="C30" s="5">
        <f>10*B30-0.05*B30^2</f>
        <v/>
      </c>
      <c r="D30" s="5">
        <f>C30-B30</f>
        <v/>
      </c>
    </row>
    <row r="33">
      <c r="B33" s="11" t="inlineStr">
        <is>
          <t>最大利益</t>
        </is>
      </c>
      <c r="C33" s="5">
        <f>MAX(D10:D30)</f>
        <v/>
      </c>
      <c r="D33" s="12" t="inlineStr">
        <is>
          <t>万円</t>
        </is>
      </c>
    </row>
    <row r="34">
      <c r="B34" s="11" t="inlineStr">
        <is>
          <t>最適広告費</t>
        </is>
      </c>
      <c r="C34" s="5">
        <f>INDEX(B10:B30,MATCH(MAX(D10:D30),D10:D30,0))</f>
        <v/>
      </c>
      <c r="D34" s="12" t="inlineStr">
        <is>
          <t>万円</t>
        </is>
      </c>
    </row>
  </sheetData>
  <mergeCells count="6">
    <mergeCell ref="I9:M9"/>
    <mergeCell ref="B2:G2"/>
    <mergeCell ref="I16:M16"/>
    <mergeCell ref="B4:G6"/>
    <mergeCell ref="I10:M14"/>
    <mergeCell ref="I17:M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N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2" customHeight="1"/>
    <row r="2" ht="30" customHeight="1">
      <c r="B2" s="1" t="inlineStr">
        <is>
          <t>挑戦② 月別気温で来年の売上を予測</t>
        </is>
      </c>
    </row>
    <row r="3" ht="6" customHeight="1"/>
    <row r="4" ht="22" customHeight="1">
      <c r="B4" s="2" t="inlineStr">
        <is>
          <t>12 ヶ月の (平均気温, アイスコーヒー売上) データから、 SLOPE/INTERCEPT で
ベスト直線を計算 → 来年の予測。 月の気温を変えて試行錯誤。</t>
        </is>
      </c>
    </row>
    <row r="5" ht="22" customHeight="1"/>
    <row r="6" ht="22" customHeight="1"/>
    <row r="9">
      <c r="B9" s="3" t="inlineStr">
        <is>
          <t>月</t>
        </is>
      </c>
      <c r="C9" s="3" t="inlineStr">
        <is>
          <t>平均気温 (℃)</t>
        </is>
      </c>
      <c r="D9" s="3" t="inlineStr">
        <is>
          <t>売上 (杯)</t>
        </is>
      </c>
      <c r="E9" s="3" t="inlineStr">
        <is>
          <t>予測値</t>
        </is>
      </c>
      <c r="F9" s="3" t="inlineStr">
        <is>
          <t>残差</t>
        </is>
      </c>
      <c r="I9" s="11" t="inlineStr">
        <is>
          <t>機械学習 = 最小二乗法</t>
        </is>
      </c>
    </row>
    <row r="10">
      <c r="B10" s="4" t="inlineStr">
        <is>
          <t>1月</t>
        </is>
      </c>
      <c r="C10" s="4" t="n">
        <v>5</v>
      </c>
      <c r="D10" s="4" t="n">
        <v>1950</v>
      </c>
      <c r="E10" s="5">
        <f>$J$10*C10+$J$11</f>
        <v/>
      </c>
      <c r="F10" s="5">
        <f>D10-E10</f>
        <v/>
      </c>
      <c r="I10" s="16" t="inlineStr">
        <is>
          <t>a (SLOPE)</t>
        </is>
      </c>
      <c r="J10" s="5">
        <f>SLOPE(D10:D21,C10:C21)</f>
        <v/>
      </c>
      <c r="L10" s="6" t="inlineStr">
        <is>
          <t>▶  黄色を埋める</t>
        </is>
      </c>
    </row>
    <row r="11">
      <c r="B11" s="4" t="inlineStr">
        <is>
          <t>2月</t>
        </is>
      </c>
      <c r="C11" s="4" t="n">
        <v>6</v>
      </c>
      <c r="D11" s="4" t="n">
        <v>1980</v>
      </c>
      <c r="E11" s="5">
        <f>$J$10*C11+$J$11</f>
        <v/>
      </c>
      <c r="F11" s="5">
        <f>D11-E11</f>
        <v/>
      </c>
      <c r="I11" s="16" t="inlineStr">
        <is>
          <t>b (INTERCEPT)</t>
        </is>
      </c>
      <c r="J11" s="5">
        <f>INTERCEPT(D10:D21,C10:C21)</f>
        <v/>
      </c>
      <c r="L11" s="7" t="inlineStr">
        <is>
          <t>① J10, J11, J12 に SLOPE/INTERCEPT/RSQ で a, b, R² が出ている。
② E10 のサンプル式 =J10*C10+J11 を E21、 F10 を F21 までドラッグ。
③ 答え: a = 30、 b = 1800、 R² = 1.000(完全線形)。</t>
        </is>
      </c>
    </row>
    <row r="12">
      <c r="B12" s="4" t="inlineStr">
        <is>
          <t>3月</t>
        </is>
      </c>
      <c r="C12" s="4" t="n">
        <v>10</v>
      </c>
      <c r="D12" s="4" t="n">
        <v>2100</v>
      </c>
      <c r="E12" s="5">
        <f>$J$10*C12+$J$11</f>
        <v/>
      </c>
      <c r="F12" s="5">
        <f>D12-E12</f>
        <v/>
      </c>
      <c r="I12" s="16" t="inlineStr">
        <is>
          <t>R²</t>
        </is>
      </c>
      <c r="J12" s="5">
        <f>RSQ(D10:D21,C10:C21)</f>
        <v/>
      </c>
    </row>
    <row r="13">
      <c r="B13" s="4" t="inlineStr">
        <is>
          <t>4月</t>
        </is>
      </c>
      <c r="C13" s="4" t="n">
        <v>15</v>
      </c>
      <c r="D13" s="4" t="n">
        <v>2250</v>
      </c>
      <c r="E13" s="5">
        <f>$J$10*C13+$J$11</f>
        <v/>
      </c>
      <c r="F13" s="5">
        <f>D13-E13</f>
        <v/>
      </c>
    </row>
    <row r="14">
      <c r="B14" s="4" t="inlineStr">
        <is>
          <t>5月</t>
        </is>
      </c>
      <c r="C14" s="4" t="n">
        <v>20</v>
      </c>
      <c r="D14" s="4" t="n">
        <v>2400</v>
      </c>
      <c r="E14" s="5">
        <f>$J$10*C14+$J$11</f>
        <v/>
      </c>
      <c r="F14" s="5">
        <f>D14-E14</f>
        <v/>
      </c>
    </row>
    <row r="15">
      <c r="B15" s="4" t="inlineStr">
        <is>
          <t>6月</t>
        </is>
      </c>
      <c r="C15" s="4" t="n">
        <v>24</v>
      </c>
      <c r="D15" s="4" t="n">
        <v>2520</v>
      </c>
      <c r="E15" s="5">
        <f>$J$10*C15+$J$11</f>
        <v/>
      </c>
      <c r="F15" s="5">
        <f>D15-E15</f>
        <v/>
      </c>
    </row>
    <row r="16">
      <c r="B16" s="4" t="inlineStr">
        <is>
          <t>7月</t>
        </is>
      </c>
      <c r="C16" s="4" t="n">
        <v>27</v>
      </c>
      <c r="D16" s="4" t="n">
        <v>2610</v>
      </c>
      <c r="E16" s="5">
        <f>$J$10*C16+$J$11</f>
        <v/>
      </c>
      <c r="F16" s="5">
        <f>D16-E16</f>
        <v/>
      </c>
    </row>
    <row r="17">
      <c r="B17" s="4" t="inlineStr">
        <is>
          <t>8月</t>
        </is>
      </c>
      <c r="C17" s="4" t="n">
        <v>29</v>
      </c>
      <c r="D17" s="4" t="n">
        <v>2670</v>
      </c>
      <c r="E17" s="5">
        <f>$J$10*C17+$J$11</f>
        <v/>
      </c>
      <c r="F17" s="5">
        <f>D17-E17</f>
        <v/>
      </c>
      <c r="L17" s="6" t="inlineStr">
        <is>
          <t>▶  グラフで可視化</t>
        </is>
      </c>
    </row>
    <row r="18">
      <c r="B18" s="4" t="inlineStr">
        <is>
          <t>9月</t>
        </is>
      </c>
      <c r="C18" s="4" t="n">
        <v>25</v>
      </c>
      <c r="D18" s="4" t="n">
        <v>2550</v>
      </c>
      <c r="E18" s="5">
        <f>$J$10*C18+$J$11</f>
        <v/>
      </c>
      <c r="F18" s="5">
        <f>D18-E18</f>
        <v/>
      </c>
      <c r="L18" s="7" t="inlineStr">
        <is>
          <t>① C9:E21 (気温・売上・予測 の 3 列) を選択 → 散布図 → 12 点と予測直線が自動で 2 系列に。
② カスタマイズ → 系列 → 「予測値」 系列を選び、 「線の太さ」 を 2px 以上に上げる。
③ カスタマイズ → 横軸 / 縦軸 で、 横軸 0〜35、 縦軸 1800〜2700 に固定すると見やすい。</t>
        </is>
      </c>
    </row>
    <row r="19">
      <c r="B19" s="4" t="inlineStr">
        <is>
          <t>10月</t>
        </is>
      </c>
      <c r="C19" s="4" t="n">
        <v>18</v>
      </c>
      <c r="D19" s="4" t="n">
        <v>2340</v>
      </c>
      <c r="E19" s="5">
        <f>$J$10*C19+$J$11</f>
        <v/>
      </c>
      <c r="F19" s="5">
        <f>D19-E19</f>
        <v/>
      </c>
    </row>
    <row r="20">
      <c r="B20" s="4" t="inlineStr">
        <is>
          <t>11月</t>
        </is>
      </c>
      <c r="C20" s="4" t="n">
        <v>7</v>
      </c>
      <c r="D20" s="4" t="n">
        <v>2010</v>
      </c>
      <c r="E20" s="5">
        <f>$J$10*C20+$J$11</f>
        <v/>
      </c>
      <c r="F20" s="5">
        <f>D20-E20</f>
        <v/>
      </c>
    </row>
    <row r="21">
      <c r="B21" s="4" t="inlineStr">
        <is>
          <t>12月</t>
        </is>
      </c>
      <c r="C21" s="4" t="n">
        <v>6</v>
      </c>
      <c r="D21" s="4" t="n">
        <v>1980</v>
      </c>
      <c r="E21" s="5">
        <f>$J$10*C21+$J$11</f>
        <v/>
      </c>
      <c r="F21" s="5">
        <f>D21-E21</f>
        <v/>
      </c>
    </row>
    <row r="22"/>
    <row r="23">
      <c r="B23" s="14" t="inlineStr">
        <is>
          <t xml:space="preserve">  予測 ／ 来年の月別気温を入れて売上を予測</t>
        </is>
      </c>
    </row>
    <row r="25">
      <c r="B25" s="13" t="inlineStr">
        <is>
          <t>気温(℃)を黄色セルに入れて、 予測売上を見る。</t>
        </is>
      </c>
      <c r="L25" s="6" t="inlineStr">
        <is>
          <t>▶  動かしてみる</t>
        </is>
      </c>
    </row>
    <row r="26">
      <c r="L26" s="7" t="inlineStr">
        <is>
          <t>① 来年の予想気温 (C28:C39) を変えると、 D 列の予測売上が動く。
② 例: 8 月の C35 を 35 ℃ に変えると、 D35 = 30×35+1800 = 2850 杯。
③ 来年の合計予測売上 (D41) も連動して変わる。 経営判断の材料に。</t>
        </is>
      </c>
    </row>
    <row r="27">
      <c r="B27" s="3" t="inlineStr">
        <is>
          <t>月</t>
        </is>
      </c>
      <c r="C27" s="3" t="inlineStr">
        <is>
          <t>予想気温 (℃)</t>
        </is>
      </c>
      <c r="D27" s="3" t="inlineStr">
        <is>
          <t>予測売上 (杯)</t>
        </is>
      </c>
    </row>
    <row r="28">
      <c r="B28" s="4" t="inlineStr">
        <is>
          <t>1月</t>
        </is>
      </c>
      <c r="C28" s="5" t="n">
        <v>4</v>
      </c>
      <c r="D28" s="5">
        <f>$J$10*C28+$J$11</f>
        <v/>
      </c>
    </row>
    <row r="29">
      <c r="B29" s="4" t="inlineStr">
        <is>
          <t>2月</t>
        </is>
      </c>
      <c r="C29" s="5" t="n">
        <v>5</v>
      </c>
      <c r="D29" s="5">
        <f>$J$10*C29+$J$11</f>
        <v/>
      </c>
    </row>
    <row r="30">
      <c r="B30" s="4" t="inlineStr">
        <is>
          <t>3月</t>
        </is>
      </c>
      <c r="C30" s="5" t="n">
        <v>11</v>
      </c>
      <c r="D30" s="5">
        <f>$J$10*C30+$J$11</f>
        <v/>
      </c>
    </row>
    <row r="31">
      <c r="B31" s="4" t="inlineStr">
        <is>
          <t>4月</t>
        </is>
      </c>
      <c r="C31" s="5" t="n">
        <v>17</v>
      </c>
      <c r="D31" s="5">
        <f>$J$10*C31+$J$11</f>
        <v/>
      </c>
    </row>
    <row r="32">
      <c r="B32" s="4" t="inlineStr">
        <is>
          <t>5月</t>
        </is>
      </c>
      <c r="C32" s="5" t="n">
        <v>22</v>
      </c>
      <c r="D32" s="5">
        <f>$J$10*C32+$J$11</f>
        <v/>
      </c>
    </row>
    <row r="33">
      <c r="B33" s="4" t="inlineStr">
        <is>
          <t>6月</t>
        </is>
      </c>
      <c r="C33" s="5" t="n">
        <v>26</v>
      </c>
      <c r="D33" s="5">
        <f>$J$10*C33+$J$11</f>
        <v/>
      </c>
    </row>
    <row r="34">
      <c r="B34" s="4" t="inlineStr">
        <is>
          <t>7月</t>
        </is>
      </c>
      <c r="C34" s="5" t="n">
        <v>30</v>
      </c>
      <c r="D34" s="5">
        <f>$J$10*C34+$J$11</f>
        <v/>
      </c>
    </row>
    <row r="35">
      <c r="B35" s="4" t="inlineStr">
        <is>
          <t>8月</t>
        </is>
      </c>
      <c r="C35" s="5" t="n">
        <v>32</v>
      </c>
      <c r="D35" s="5">
        <f>$J$10*C35+$J$11</f>
        <v/>
      </c>
    </row>
    <row r="36">
      <c r="B36" s="4" t="inlineStr">
        <is>
          <t>9月</t>
        </is>
      </c>
      <c r="C36" s="5" t="n">
        <v>27</v>
      </c>
      <c r="D36" s="5">
        <f>$J$10*C36+$J$11</f>
        <v/>
      </c>
    </row>
    <row r="37">
      <c r="B37" s="4" t="inlineStr">
        <is>
          <t>10月</t>
        </is>
      </c>
      <c r="C37" s="5" t="n">
        <v>20</v>
      </c>
      <c r="D37" s="5">
        <f>$J$10*C37+$J$11</f>
        <v/>
      </c>
    </row>
    <row r="38">
      <c r="B38" s="4" t="inlineStr">
        <is>
          <t>11月</t>
        </is>
      </c>
      <c r="C38" s="5" t="n">
        <v>13</v>
      </c>
      <c r="D38" s="5">
        <f>$J$10*C38+$J$11</f>
        <v/>
      </c>
    </row>
    <row r="39">
      <c r="B39" s="4" t="inlineStr">
        <is>
          <t>12月</t>
        </is>
      </c>
      <c r="C39" s="5" t="n">
        <v>8</v>
      </c>
      <c r="D39" s="5">
        <f>$J$10*C39+$J$11</f>
        <v/>
      </c>
    </row>
    <row r="41">
      <c r="B41" s="11" t="inlineStr">
        <is>
          <t>来年の合計予測売上</t>
        </is>
      </c>
      <c r="D41" s="5">
        <f>SUM(D28:D39)</f>
        <v/>
      </c>
      <c r="E41" s="12" t="inlineStr">
        <is>
          <t>杯</t>
        </is>
      </c>
    </row>
  </sheetData>
  <mergeCells count="12">
    <mergeCell ref="B2:G2"/>
    <mergeCell ref="L25:N25"/>
    <mergeCell ref="L18:N22"/>
    <mergeCell ref="L10:N10"/>
    <mergeCell ref="B25:F25"/>
    <mergeCell ref="B23:G23"/>
    <mergeCell ref="I9:K9"/>
    <mergeCell ref="L26:N32"/>
    <mergeCell ref="B4:G6"/>
    <mergeCell ref="B41:C41"/>
    <mergeCell ref="L11:N15"/>
    <mergeCell ref="L17:N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2026-05-10T02:35:07Z</dcterms:created>
  <dcterms:modified xmlns:dcterms="http://purl.org/dc/terms/" xmlns:xsi="http://www.w3.org/2001/XMLSchema-instance" xsi:type="dcterms:W3CDTF">2026-05-10T02:35:07Z</dcterms:modified>
</cp:coreProperties>
</file>