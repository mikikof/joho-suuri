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kiokofune/my-company/.company/education/university/joho-suuri/lec04/"/>
    </mc:Choice>
  </mc:AlternateContent>
  <xr:revisionPtr revIDLastSave="0" documentId="13_ncr:1_{114D1C89-5440-414E-A3E7-22AE76B0009A}" xr6:coauthVersionLast="47" xr6:coauthVersionMax="47" xr10:uidLastSave="{00000000-0000-0000-0000-000000000000}"/>
  <bookViews>
    <workbookView xWindow="4420" yWindow="660" windowWidth="25820" windowHeight="18980" xr2:uid="{00000000-000D-0000-FFFF-FFFF00000000}"/>
  </bookViews>
  <sheets>
    <sheet name="1_線を引く" sheetId="1" r:id="rId1"/>
    <sheet name="2_相関のパターン" sheetId="2" r:id="rId2"/>
    <sheet name="3_面積最大化" sheetId="3" r:id="rId3"/>
    <sheet name="4_最適価格" sheetId="4" r:id="rId4"/>
    <sheet name="5_ベスト直線" sheetId="5" r:id="rId5"/>
    <sheet name="6_最小二乗法" sheetId="6" r:id="rId6"/>
    <sheet name="演習①_基本" sheetId="7" r:id="rId7"/>
    <sheet name="演習②_応用" sheetId="8" r:id="rId8"/>
    <sheet name="挑戦①_広告費の最適化" sheetId="9" r:id="rId9"/>
    <sheet name="挑戦②_月別気温で売上予測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6" l="1"/>
  <c r="E21" i="6"/>
  <c r="J14" i="5"/>
  <c r="J12" i="10"/>
  <c r="J11" i="10"/>
  <c r="J10" i="10"/>
  <c r="D28" i="10" s="1"/>
  <c r="D41" i="10" s="1"/>
  <c r="C10" i="9"/>
  <c r="D10" i="9" s="1"/>
  <c r="C47" i="8"/>
  <c r="D35" i="8"/>
  <c r="C35" i="8"/>
  <c r="E35" i="8" s="1"/>
  <c r="C26" i="8"/>
  <c r="C15" i="8"/>
  <c r="C32" i="7"/>
  <c r="C31" i="7"/>
  <c r="C30" i="7"/>
  <c r="D15" i="7"/>
  <c r="E15" i="7" s="1"/>
  <c r="D22" i="7" s="1"/>
  <c r="J12" i="6"/>
  <c r="J11" i="6"/>
  <c r="D10" i="6" s="1"/>
  <c r="E10" i="6" s="1"/>
  <c r="J10" i="6"/>
  <c r="J40" i="5"/>
  <c r="J39" i="5"/>
  <c r="D10" i="5"/>
  <c r="E10" i="5" s="1"/>
  <c r="F10" i="5" s="1"/>
  <c r="F16" i="5" s="1"/>
  <c r="C10" i="4"/>
  <c r="D10" i="4" s="1"/>
  <c r="C32" i="3"/>
  <c r="C31" i="3"/>
  <c r="D10" i="3"/>
  <c r="C10" i="3"/>
  <c r="D17" i="1"/>
  <c r="D10" i="1"/>
  <c r="E10" i="1" s="1"/>
  <c r="D18" i="1" s="1"/>
  <c r="C34" i="9" l="1"/>
  <c r="C33" i="9"/>
  <c r="C33" i="4"/>
  <c r="C34" i="4"/>
  <c r="E10" i="10"/>
  <c r="F10" i="10" s="1"/>
</calcChain>
</file>

<file path=xl/sharedStrings.xml><?xml version="1.0" encoding="utf-8"?>
<sst xmlns="http://schemas.openxmlformats.org/spreadsheetml/2006/main" count="213" uniqueCount="152">
  <si>
    <t>1. 線を引く ／ アイスコーヒーの売上予測</t>
  </si>
  <si>
    <t>駅前のカフェで気温 (x) とアイスコーヒーの売上 (y) を 5 日間記録した。
気温 1℃ で何杯増える? の目安から、自分で a と b を当てはめて予測線を作る。</t>
  </si>
  <si>
    <t>気温 x (℃)</t>
  </si>
  <si>
    <t>売上 y (杯)</t>
  </si>
  <si>
    <t>予測 = a x + b</t>
  </si>
  <si>
    <t>残差 = y − 予測</t>
  </si>
  <si>
    <t>a (傾き)</t>
  </si>
  <si>
    <t>b (切片)</t>
  </si>
  <si>
    <t>▶  黄色を埋める</t>
  </si>
  <si>
    <t>① D10 にサンプル式 =$I$10*B10+$J$10 が入っている。
② D10 を D14 までフィルハンドル(青い四角)で下にドラッグ。
③ E10 のフィルハンドルも E14 までドラッグ。</t>
  </si>
  <si>
    <t>26 ℃ の予測売上</t>
  </si>
  <si>
    <t>杯</t>
  </si>
  <si>
    <t>▶  グラフで可視化</t>
  </si>
  <si>
    <t>残差の絶対値の合計</t>
  </si>
  <si>
    <t>小さいほど良い</t>
  </si>
  <si>
    <t>① B9:D14 (気温・売上・予測 の 3 列) を選択 → メニュー [挿入] → [グラフ]。
② グラフの種類を「散布図」 に変更 → 実測点(売上) と予測直線が自動で 2 系列に分かれる。
③ カスタマイズ → 系列 → 「予測 = a x + b」 系列を選び、 「線の太さ」 を 2px 以上に上げる。</t>
  </si>
  <si>
    <t>▶  動かしてみる</t>
  </si>
  <si>
    <t>① I10 (a) を 6.5、 J10 (b) を −52 に変えてみる。
② 残差合計 (D18) が小さくなったか確認。
③ 26 ℃ の予測売上 (D17) は 117 杯。
④ ベスト直線は a=6.5, b=−52 で 残差合計 = 12 に到達する。</t>
  </si>
  <si>
    <t>2. 相関のパターン ／ r で散らばりを数値化</t>
  </si>
  <si>
    <t>4 種類の (x, y) データを並べて、各々に「相関係数 r」 を計算する。
r が ±1 に近い = 強い相関、 r が 0 に近い = 無相関。</t>
  </si>
  <si>
    <t>① 強い相関</t>
  </si>
  <si>
    <t>② 中程度</t>
  </si>
  <si>
    <t>③ 弱い</t>
  </si>
  <si>
    <t>④ 無相関</t>
  </si>
  <si>
    <t>x</t>
  </si>
  <si>
    <t>y</t>
  </si>
  <si>
    <t>① C24 / E24 / G24 / J24 に CORREL 関数で 相関係数を計算済(黄色)。
② 4 つの r 値を見比べる。 ① は 1 に近く、 ④ は 0 に近いはず。</t>
  </si>
  <si>
    <t>① B10:C22 を選択 → 挿入 → グラフ → 散布図。 ① の点が直線状に並ぶ。
② 同様に D10:E22、 F10:G22、 I10:J22 を別グラフで散布図に。
③ 4 つを並べて見ると、 r 値の大小と「点の集まり具合」 が一致する。</t>
  </si>
  <si>
    <t>相関係数 r =</t>
  </si>
  <si>
    <t>① C13(① で y=30 の点)を 95 に変えてみる(外れ値を作る)。
② r 値 (C24) がどう変わるか観察。 → r が 1 に近い値から下がる。
③ 1 個の外れ値で相関係数が大きく動く = データのクリーニングが大事。</t>
  </si>
  <si>
    <t>3. 面積最大化 ／ 周囲 20m の長方形の最適形</t>
  </si>
  <si>
    <t>周囲 20 m の柵で長方形の庭を囲う。 縦と横でどう面積が変わるか?
縦 x、 横 = 10 − x、 面積 = x × (10 − x)。 x を動かして頂点を探す。</t>
  </si>
  <si>
    <t>縦 x (m)</t>
  </si>
  <si>
    <t>横 = 10 − x (m)</t>
  </si>
  <si>
    <t>面積 = x × (10 − x)</t>
  </si>
  <si>
    <t>① C10 にサンプル式 =10-B10 (横) と D10 に =B10*C10 (面積) あり。
② C10 と D10 を選択 → フィルハンドルを D28 までドラッグ → 19 行ぶん埋まる。</t>
  </si>
  <si>
    <t>① B9:B28, D9:D28 を選択(縦と面積の 2 列だけ、 横の列はスキップ)。
② 挿入 → グラフ → 散布図に変更。 → 上に凸の放物線が現れる。
③ ダブルクリック → カスタマイズ → 系列 → 「線の太さ」 を 0px から 2px 以上に上げる(これで点が線で結ばれる)。もし見当たらない場合はグラフ種類を「折れ線グラフ」 に変える。</t>
  </si>
  <si>
    <t>① C31 (最大面積) と C32 (そのときの x) を見る。
② 最大面積は 25 m²、 x = 5.0 m(正方形)が答え。
③ 同じ周囲でも、 形が「正方形」 のときに一番広く囲える。</t>
  </si>
  <si>
    <t>最大面積</t>
  </si>
  <si>
    <t>m²</t>
  </si>
  <si>
    <t>そのときの x</t>
  </si>
  <si>
    <t>m</t>
  </si>
  <si>
    <t>4. 最適価格 ／ タピオカドリンクの値段</t>
  </si>
  <si>
    <t>需要 D = 200 − 2p (値段が上がると売れる杯数が減る、 1 次関数)。
売上 R = p × D = 1 次×1 次 → 2 次関数(放物線)。 値段 p を動かして最大売上を探す。</t>
  </si>
  <si>
    <t>価格 p (円)</t>
  </si>
  <si>
    <t>需要 D = 200 − 2p (杯)</t>
  </si>
  <si>
    <t>売上 R = p × D (円)</t>
  </si>
  <si>
    <t>① C10 にサンプル式 =200-2*B10 (需要) と D10 に =B10*C10 (売上) あり。
② C10 と D10 を選択 → フィルハンドルを D30 までドラッグ。</t>
  </si>
  <si>
    <t>① B9:B30, D9:D30 を選択 → 挿入 → グラフ。
② グラフの種類を散布図に変更 → 上に凸の放物線。
③ カスタマイズ → 系列 → 「線の太さ」 を 0px から 2px 以上に上げる(これで点が線で結ばれる)。
④ 軸の最小値・最大値を ダブルクリック → カスタマイズ → 横軸/縦軸 で固定するときれい。</t>
  </si>
  <si>
    <t>① C33 (最大売上) は 5000 円、 C34 (最適価格) は 50 円が答え。
② 安すぎても高すぎても損 = 放物線の頂点が「ベストの値段」。</t>
  </si>
  <si>
    <t>最大売上</t>
  </si>
  <si>
    <t>円</t>
  </si>
  <si>
    <t>最適価格</t>
  </si>
  <si>
    <t>5. ベスト直線 ／ 「ズレの 2 乗の和」 を最小に</t>
  </si>
  <si>
    <t>5 点のコーヒーデータで、 (28, 130) を必ず通る直線の傾き w を動かす。
各点での「ズレの 2 乗」 を全部足した値 E(w) を計算 → U 字の頂点が答え。</t>
  </si>
  <si>
    <t>気温 x</t>
  </si>
  <si>
    <t>売上 y</t>
  </si>
  <si>
    <t>予測 = w(x−28)+130</t>
  </si>
  <si>
    <t>残差</t>
  </si>
  <si>
    <t>残差²</t>
  </si>
  <si>
    <t>w (傾き)</t>
  </si>
  <si>
    <t>① 上の表は D10/E10/F10 にサンプル式が入っている。 D10:F10 を選択して F14 までドラッグ。
② 右の表 J14 にもサンプル式 =160*I14^2-2080*I14+6800 が入っている。 J38 までドラッグ。</t>
  </si>
  <si>
    <t>w を表で並べる</t>
  </si>
  <si>
    <t>w</t>
  </si>
  <si>
    <t>E(w)</t>
  </si>
  <si>
    <t>① I13:J38 を選択 → 挿入 → 散布図。 U 字の放物線が出る。
② カスタマイズ → 系列 → 「線の太さ」 を 2px 以上にして滑らかな U 字に。</t>
  </si>
  <si>
    <t>ズレの 2 乗の合計 E(w)</t>
  </si>
  <si>
    <t>① I10 (上の w) を 0、 1、 2、 …、 13 と変えて F16 (E(w)) の動きを観察。
② 最小 E(w) は 40、 最適 w は 6.5(右の表 J39, J40 を確認)。
③ ベスト直線の傾き = 6.5、 切片 = 130 − 6.5×28 = −52。</t>
  </si>
  <si>
    <t>最小 E(w)</t>
  </si>
  <si>
    <t>最適 w</t>
  </si>
  <si>
    <t>6. 最小二乗法 ／ 機械が一発でベスト直線を引く</t>
  </si>
  <si>
    <t>住宅 8 件の (広さ, 価格) データから、 SLOPE 関数と INTERCEPT 関数で
a (傾き) と b (切片) を一発で計算する。 これが Python の polyfit の中身。</t>
  </si>
  <si>
    <t>広さ x (m²)</t>
  </si>
  <si>
    <t>価格 y (万円)</t>
  </si>
  <si>
    <t>SLOPE / INTERCEPT で一発</t>
  </si>
  <si>
    <t>a (SLOPE)</t>
  </si>
  <si>
    <t>b (INTERCEPT)</t>
  </si>
  <si>
    <t>R² (RSQ)</t>
  </si>
  <si>
    <t>① J10, J11, J12 に SLOPE / INTERCEPT / RSQ 関数の式が入っている。
② D10 のサンプル式 =J10*B10+J11 を D17 までドラッグ。 E10 も E17 までドラッグ。
③ J10 = 35.00、 J11 = 500、 R² ≈ 0.99(高い相関)。</t>
  </si>
  <si>
    <t>ズレの 2 乗の和</t>
  </si>
  <si>
    <t>広さ 80 m² の予測価格</t>
  </si>
  <si>
    <t>万円</t>
  </si>
  <si>
    <t>① B9:D17 (広さ・価格・予測 の 3 列) を選択 → 挿入 → グラフ → 「散布図」 に変更。
② 実測点(価格) と予測直線が自動で 2 系列に分かれる。
③ カスタマイズ → 系列 → 「予測」 系列を選び、 「線の太さ」 を 2px に上げる(点はそのまま、直線が伸びる)。</t>
  </si>
  <si>
    <t>Excel/Sheets の SLOPE / INTERCEPT は、 Python の np.polyfit(x, y, 1) と
同じ「最小二乗法」 を解いている。 この一行 / 二関数の中身が、 今日の主役。
広さ 80 m² の予測価格 = 35×80 + 500 = 3300 万円。</t>
  </si>
  <si>
    <t>演習問題 ①  基本</t>
  </si>
  <si>
    <t>黄色セルに式を入れる → ドラッグで広げる → グラフで可視化する。
この 3 つの流れを自分の手で実行する。</t>
  </si>
  <si>
    <t xml:space="preserve">  Q1   気温と来店客数 ／ 自分で線を引く</t>
  </si>
  <si>
    <t>別の店舗で「気温」 と「来店客数」 を 6 日間記録した。
自分で a と b を当てはめて予測線を作り、 ズレを観察する。</t>
  </si>
  <si>
    <t>来店客数 y</t>
  </si>
  <si>
    <t>a</t>
  </si>
  <si>
    <t>b</t>
  </si>
  <si>
    <t>① D15, E15 のサンプル式 → D20, E20 までドラッグ。
② I15 (a) と J15 (b) を変えて、 残差合計 (D22) が小さくなるよう探す。
③ a = 3, b = 10 で残差合計が 0 になる(完全線形)。</t>
  </si>
  <si>
    <t>残差の絶対値合計</t>
  </si>
  <si>
    <t xml:space="preserve">  Q2   機械にやらせる(最小二乗法)</t>
  </si>
  <si>
    <t>Q1 と同じデータで、 SLOPE / INTERCEPT で a と b を一発計算する。</t>
  </si>
  <si>
    <t>Q1 で自分で当てはめた a, b と、 C30, C31 の機械の答え (a=3, b=10) を比べる。
このデータは完全に直線上にあるので、 機械の答えなら残差合計が 0 になる。</t>
  </si>
  <si>
    <t>R²</t>
  </si>
  <si>
    <t>演習問題 ②  応用</t>
  </si>
  <si>
    <t>車のブレーキ距離(2 次関数)と、 損益分岐点(1 次関数 2 本の交点)。
元 PDF の演習問題から 2 つを Sheets で再現する。</t>
  </si>
  <si>
    <t xml:space="preserve">  Q1   制動距離 d = 0.05 v² + 0.2 v</t>
  </si>
  <si>
    <t>車の速度 v (km/h) と、 ブレーキをかけてから止まるまでの距離 d (m) は
d = 0.05 v² + 0.2 v で近似される。 v を動かして d がどう変わるか観察。</t>
  </si>
  <si>
    <t>速度 v (km/h)</t>
  </si>
  <si>
    <t>制動距離 d (m)</t>
  </si>
  <si>
    <t>① C15 のサンプル式 =0.05*B15^2+0.2*B15 を C25 までドラッグ。
② B14:C25 を選択 → 散布図 → 2 次関数の右半分が現れる(下に凸)。
③ カスタマイズ → 系列 → 「線の太さ」 を 2px に上げて滑らかに。</t>
  </si>
  <si>
    <t>① 60 km/h で 192 m、 100 km/h で 520 m。 速度が 1.67 倍になると距離は 2.7 倍に。
② 速度の 2 乗で距離が伸びる = 安全距離は速度に比例ではなく 2 乗に比例。</t>
  </si>
  <si>
    <t>60 km/h での距離</t>
  </si>
  <si>
    <t xml:space="preserve">  Q2   損益分岐点 ／ 製造数量 x で売上とコストが一致する点</t>
  </si>
  <si>
    <t>コスト = 200 x + 15000、 売上 = 500 x。 何個売れば赤字が黒字になる?</t>
  </si>
  <si>
    <t>個数 x</t>
  </si>
  <si>
    <t>コスト = 200x + 15000</t>
  </si>
  <si>
    <t>売上 = 500x</t>
  </si>
  <si>
    <t>利益 = 売上 − コスト</t>
  </si>
  <si>
    <t>① C35:E35 のサンプル式を E45 までドラッグ。
② B34:D45 を選択(個数・コスト・売上 の 3 列) → 散布図 → 2 本の直線が交差。
③ カスタマイズ → 系列 → 両系列とも「線の太さ」 を 2px 以上に上げる。</t>
  </si>
  <si>
    <t>① 交点 = 損益分岐点。 C47 = 50 個。
② 50 個で売上 = コスト = 25000 円。 これを超えたら黒字。</t>
  </si>
  <si>
    <t>損益分岐点</t>
  </si>
  <si>
    <t>個</t>
  </si>
  <si>
    <t>挑戦① 広告費の最適化</t>
  </si>
  <si>
    <t>ある商品の売上モデル: 売上 = 10 R − 0.05 R² (R = 広告費・万円)。
広告にいくら使うと利益が最大?  利益 = 売上 − 広告費。</t>
  </si>
  <si>
    <t>広告費 R (万円)</t>
  </si>
  <si>
    <t>売上 = 10 R − 0.05 R² (万円)</t>
  </si>
  <si>
    <t>利益 = 売上 − R (万円)</t>
  </si>
  <si>
    <t>① C10, D10 のサンプル式を D30 までドラッグ。
② B9:D30 を選択(広告費・売上・利益 の 3 列) → 散布図 → 売上と利益の 2 本の曲線。
③ カスタマイズ → 系列 → 両系列とも「線の太さ」 を 2px 以上に上げる。</t>
  </si>
  <si>
    <t>① 売上は R = 100 で最大(放物線の頂点)、 でも利益は R = 90 で最大。
② 売上だけ追うと「過剰投資」 になる。 利益で判断するのが経営的に正解。
③ 数式: 利益 = 9R − 0.05R² → 頂点 R = 9/(2×0.05) = 90 万円、 利益 405 万円。</t>
  </si>
  <si>
    <t>最大利益</t>
  </si>
  <si>
    <t>最適広告費</t>
  </si>
  <si>
    <t>挑戦② 月別気温で来年の売上を予測</t>
  </si>
  <si>
    <t>12 ヶ月の (平均気温, アイスコーヒー売上) データから、 SLOPE/INTERCEPT で
ベスト直線を計算 → 来年の予測。 月の気温を変えて試行錯誤。</t>
  </si>
  <si>
    <t>月</t>
  </si>
  <si>
    <t>平均気温 (℃)</t>
  </si>
  <si>
    <t>売上 (杯)</t>
  </si>
  <si>
    <t>予測値</t>
  </si>
  <si>
    <t>機械学習 = 最小二乗法</t>
  </si>
  <si>
    <t>1月</t>
  </si>
  <si>
    <t>2月</t>
  </si>
  <si>
    <t>① J10, J11, J12 に SLOPE/INTERCEPT/RSQ で a, b, R² が出ている。
② E10 のサンプル式 =J10*C10+J11 を E21、 F10 を F21 までドラッグ。
③ 答え: a = 30、 b = 1800、 R² = 1.000(完全線形)。</t>
  </si>
  <si>
    <t>3月</t>
  </si>
  <si>
    <t>4月</t>
  </si>
  <si>
    <t>5月</t>
  </si>
  <si>
    <t>6月</t>
  </si>
  <si>
    <t>7月</t>
  </si>
  <si>
    <t>8月</t>
  </si>
  <si>
    <t>9月</t>
  </si>
  <si>
    <t>① C9:E21 (気温・売上・予測 の 3 列) を選択 → 散布図 → 12 点と予測直線が自動で 2 系列に。
② カスタマイズ → 系列 → 「予測値」 系列を選び、 「線の太さ」 を 2px 以上に上げる。
③ カスタマイズ → 横軸 / 縦軸 で、 横軸 0〜35、 縦軸 1800〜2700 に固定すると見やすい。</t>
  </si>
  <si>
    <t>10月</t>
  </si>
  <si>
    <t>11月</t>
  </si>
  <si>
    <t>12月</t>
  </si>
  <si>
    <t xml:space="preserve">  予測 ／ 来年の月別気温を入れて売上を予測</t>
  </si>
  <si>
    <t>気温(℃)を黄色セルに入れて、 予測売上を見る。</t>
  </si>
  <si>
    <t>① 来年の予想気温 (C28:C39) を変えると、 D 列の予測売上が動く。
② 例: 8 月の C35 を 35 ℃ に変えると、 D35 = 30×35+1800 = 2850 杯。
③ 来年の合計予測売上 (D41) も連動して変わる。 経営判断の材料に。</t>
  </si>
  <si>
    <t>予想気温 (℃)</t>
  </si>
  <si>
    <t>予測売上 (杯)</t>
  </si>
  <si>
    <t>来年の合計予測売上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</si>
</sst>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ＭＳ Ｐゴシック"/>
      <family val="2"/>
      <scheme val="minor"/>
    </font>
    <font>
      <b/>
      <sz val="18"/>
      <color rgb="FF1F2937"/>
      <name val="Yu Gothic"/>
      <family val="3"/>
      <charset val="128"/>
    </font>
    <font>
      <sz val="11"/>
      <color rgb="FF1F2937"/>
      <name val="Yu Gothic"/>
      <family val="3"/>
      <charset val="128"/>
    </font>
    <font>
      <b/>
      <sz val="12"/>
      <color rgb="FF1F2937"/>
      <name val="Yu Gothic"/>
      <family val="3"/>
      <charset val="128"/>
    </font>
    <font>
      <sz val="11"/>
      <color rgb="FF6B7280"/>
      <name val="Yu Gothic"/>
      <family val="3"/>
      <charset val="128"/>
    </font>
    <font>
      <b/>
      <sz val="12"/>
      <color rgb="FF92400E"/>
      <name val="Yu Gothic"/>
      <family val="3"/>
      <charset val="128"/>
    </font>
    <font>
      <sz val="11"/>
      <color rgb="FF422006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6F7F9"/>
      </patternFill>
    </fill>
    <fill>
      <patternFill patternType="solid">
        <fgColor rgb="FFEFF6FF"/>
      </patternFill>
    </fill>
    <fill>
      <patternFill patternType="solid">
        <fgColor rgb="FFFEF3C7"/>
      </patternFill>
    </fill>
    <fill>
      <patternFill patternType="solid">
        <fgColor rgb="FFFDE68A"/>
      </patternFill>
    </fill>
    <fill>
      <patternFill patternType="solid">
        <fgColor rgb="FF1F2937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 vertical="center" wrapText="1"/>
    </xf>
    <xf numFmtId="0" fontId="2" fillId="0" borderId="0" xfId="0" applyFont="1"/>
    <xf numFmtId="0" fontId="5" fillId="5" borderId="0" xfId="0" applyFont="1" applyFill="1" applyAlignment="1">
      <alignment horizontal="left" vertical="center" wrapText="1"/>
    </xf>
    <xf numFmtId="0" fontId="0" fillId="0" borderId="0" xfId="0"/>
    <xf numFmtId="0" fontId="1" fillId="0" borderId="0" xfId="0" applyFont="1" applyAlignment="1">
      <alignment horizontal="left" vertical="center" wrapText="1"/>
    </xf>
    <xf numFmtId="0" fontId="6" fillId="4" borderId="0" xfId="0" applyFont="1" applyFill="1" applyAlignment="1">
      <alignment horizontal="left" vertical="top" wrapText="1"/>
    </xf>
    <xf numFmtId="0" fontId="3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/>
    </xf>
    <xf numFmtId="0" fontId="0" fillId="0" borderId="2" xfId="0" applyBorder="1"/>
    <xf numFmtId="0" fontId="3" fillId="0" borderId="0" xfId="0" applyFont="1"/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27"/>
  <sheetViews>
    <sheetView showGridLines="0" tabSelected="1" workbookViewId="0">
      <selection activeCell="E25" sqref="E25"/>
    </sheetView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13" width="16.83203125" customWidth="1"/>
    <col min="14" max="14" width="14" customWidth="1"/>
  </cols>
  <sheetData>
    <row r="1" spans="2:13" ht="12" customHeight="1"/>
    <row r="2" spans="2:13" ht="30" customHeight="1">
      <c r="B2" s="13" t="s">
        <v>0</v>
      </c>
      <c r="C2" s="12"/>
      <c r="D2" s="12"/>
      <c r="E2" s="12"/>
      <c r="F2" s="12"/>
      <c r="G2" s="12"/>
    </row>
    <row r="3" spans="2:13" ht="6" customHeight="1"/>
    <row r="4" spans="2:13" ht="22" customHeight="1">
      <c r="B4" s="16" t="s">
        <v>1</v>
      </c>
      <c r="C4" s="12"/>
      <c r="D4" s="12"/>
      <c r="E4" s="12"/>
      <c r="F4" s="12"/>
      <c r="G4" s="12"/>
    </row>
    <row r="5" spans="2:13" ht="22" customHeight="1">
      <c r="B5" s="12"/>
      <c r="C5" s="12"/>
      <c r="D5" s="12"/>
      <c r="E5" s="12"/>
      <c r="F5" s="12"/>
      <c r="G5" s="12"/>
    </row>
    <row r="6" spans="2:13" ht="22" customHeight="1">
      <c r="B6" s="12"/>
      <c r="C6" s="12"/>
      <c r="D6" s="12"/>
      <c r="E6" s="12"/>
      <c r="F6" s="12"/>
      <c r="G6" s="12"/>
    </row>
    <row r="9" spans="2:13" ht="18">
      <c r="B9" s="1" t="s">
        <v>2</v>
      </c>
      <c r="C9" s="1" t="s">
        <v>3</v>
      </c>
      <c r="D9" s="1" t="s">
        <v>4</v>
      </c>
      <c r="E9" s="1" t="s">
        <v>5</v>
      </c>
      <c r="I9" s="1" t="s">
        <v>6</v>
      </c>
      <c r="J9" s="1" t="s">
        <v>7</v>
      </c>
    </row>
    <row r="10" spans="2:13" ht="17">
      <c r="B10" s="2">
        <v>20</v>
      </c>
      <c r="C10" s="2">
        <v>80</v>
      </c>
      <c r="D10" s="3">
        <f>$I$10*B10+$J$10</f>
        <v>100</v>
      </c>
      <c r="E10" s="3">
        <f>C10-D10</f>
        <v>-20</v>
      </c>
      <c r="I10" s="3">
        <v>5</v>
      </c>
      <c r="J10" s="3">
        <v>0</v>
      </c>
    </row>
    <row r="11" spans="2:13" ht="17">
      <c r="B11" s="2">
        <v>24</v>
      </c>
      <c r="C11" s="2">
        <v>100</v>
      </c>
      <c r="D11" s="4"/>
      <c r="E11" s="4"/>
    </row>
    <row r="12" spans="2:13" ht="17">
      <c r="B12" s="2">
        <v>28</v>
      </c>
      <c r="C12" s="2">
        <v>130</v>
      </c>
      <c r="D12" s="4"/>
      <c r="E12" s="4"/>
      <c r="I12" s="11" t="s">
        <v>8</v>
      </c>
      <c r="J12" s="12"/>
      <c r="K12" s="12"/>
      <c r="L12" s="12"/>
      <c r="M12" s="12"/>
    </row>
    <row r="13" spans="2:13" ht="17">
      <c r="B13" s="2">
        <v>32</v>
      </c>
      <c r="C13" s="2">
        <v>160</v>
      </c>
      <c r="D13" s="4"/>
      <c r="E13" s="4"/>
      <c r="I13" s="14" t="s">
        <v>9</v>
      </c>
      <c r="J13" s="12"/>
      <c r="K13" s="12"/>
      <c r="L13" s="12"/>
      <c r="M13" s="12"/>
    </row>
    <row r="14" spans="2:13" ht="17">
      <c r="B14" s="2">
        <v>36</v>
      </c>
      <c r="C14" s="2">
        <v>180</v>
      </c>
      <c r="D14" s="4"/>
      <c r="E14" s="4"/>
      <c r="I14" s="12"/>
      <c r="J14" s="12"/>
      <c r="K14" s="12"/>
      <c r="L14" s="12"/>
      <c r="M14" s="12"/>
    </row>
    <row r="15" spans="2:13">
      <c r="I15" s="12"/>
      <c r="J15" s="12"/>
      <c r="K15" s="12"/>
      <c r="L15" s="12"/>
      <c r="M15" s="12"/>
    </row>
    <row r="17" spans="2:13" ht="18">
      <c r="B17" s="15" t="s">
        <v>10</v>
      </c>
      <c r="C17" s="12"/>
      <c r="D17" s="3">
        <f>$I$10*26+$J$10</f>
        <v>130</v>
      </c>
      <c r="E17" s="6" t="s">
        <v>11</v>
      </c>
      <c r="I17" s="11" t="s">
        <v>12</v>
      </c>
      <c r="J17" s="12"/>
      <c r="K17" s="12"/>
      <c r="L17" s="12"/>
      <c r="M17" s="12"/>
    </row>
    <row r="18" spans="2:13" ht="18">
      <c r="B18" s="15" t="s">
        <v>13</v>
      </c>
      <c r="C18" s="12"/>
      <c r="D18" s="3">
        <f>ABS(E10)+ABS(E11)+ABS(E12)+ABS(E13)+ABS(E14)</f>
        <v>20</v>
      </c>
      <c r="E18" s="6" t="s">
        <v>14</v>
      </c>
      <c r="I18" s="14" t="s">
        <v>15</v>
      </c>
      <c r="J18" s="12"/>
      <c r="K18" s="12"/>
      <c r="L18" s="12"/>
      <c r="M18" s="12"/>
    </row>
    <row r="19" spans="2:13" ht="25" customHeight="1">
      <c r="I19" s="12"/>
      <c r="J19" s="12"/>
      <c r="K19" s="12"/>
      <c r="L19" s="12"/>
      <c r="M19" s="12"/>
    </row>
    <row r="20" spans="2:13">
      <c r="I20" s="12"/>
      <c r="J20" s="12"/>
      <c r="K20" s="12"/>
      <c r="L20" s="12"/>
      <c r="M20" s="12"/>
    </row>
    <row r="22" spans="2:13">
      <c r="I22" s="11" t="s">
        <v>16</v>
      </c>
      <c r="J22" s="12"/>
      <c r="K22" s="12"/>
      <c r="L22" s="12"/>
      <c r="M22" s="12"/>
    </row>
    <row r="23" spans="2:13">
      <c r="I23" s="14" t="s">
        <v>17</v>
      </c>
      <c r="J23" s="12"/>
      <c r="K23" s="12"/>
      <c r="L23" s="12"/>
      <c r="M23" s="12"/>
    </row>
    <row r="24" spans="2:13">
      <c r="I24" s="12"/>
      <c r="J24" s="12"/>
      <c r="K24" s="12"/>
      <c r="L24" s="12"/>
      <c r="M24" s="12"/>
    </row>
    <row r="25" spans="2:13">
      <c r="I25" s="12"/>
      <c r="J25" s="12"/>
      <c r="K25" s="12"/>
      <c r="L25" s="12"/>
      <c r="M25" s="12"/>
    </row>
    <row r="26" spans="2:13">
      <c r="I26" s="12"/>
      <c r="J26" s="12"/>
      <c r="K26" s="12"/>
      <c r="L26" s="12"/>
      <c r="M26" s="12"/>
    </row>
    <row r="27" spans="2:13">
      <c r="I27" s="12"/>
      <c r="J27" s="12"/>
      <c r="K27" s="12"/>
      <c r="L27" s="12"/>
      <c r="M27" s="12"/>
    </row>
  </sheetData>
  <mergeCells count="10">
    <mergeCell ref="I23:M27"/>
    <mergeCell ref="B17:C17"/>
    <mergeCell ref="B18:C18"/>
    <mergeCell ref="B4:G6"/>
    <mergeCell ref="I17:M17"/>
    <mergeCell ref="I12:M12"/>
    <mergeCell ref="B2:G2"/>
    <mergeCell ref="I13:M15"/>
    <mergeCell ref="I18:M20"/>
    <mergeCell ref="I22:M22"/>
  </mergeCells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N28"/>
  <sheetViews>
    <sheetView showGridLines="0" workbookViewId="0">
      <selection activeCell="J24" sqref="J24"/>
    </sheetView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14" width="14" customWidth="1"/>
  </cols>
  <sheetData>
    <row r="1" spans="2:14" ht="12" customHeight="1"/>
    <row r="2" spans="2:14" ht="30" customHeight="1">
      <c r="B2" s="13" t="s">
        <v>18</v>
      </c>
      <c r="C2" s="12"/>
      <c r="D2" s="12"/>
      <c r="E2" s="12"/>
      <c r="F2" s="12"/>
      <c r="G2" s="12"/>
    </row>
    <row r="3" spans="2:14" ht="6" customHeight="1"/>
    <row r="4" spans="2:14" ht="22" customHeight="1">
      <c r="B4" s="16" t="s">
        <v>19</v>
      </c>
      <c r="C4" s="12"/>
      <c r="D4" s="12"/>
      <c r="E4" s="12"/>
      <c r="F4" s="12"/>
      <c r="G4" s="12"/>
    </row>
    <row r="5" spans="2:14" ht="22" customHeight="1">
      <c r="B5" s="12"/>
      <c r="C5" s="12"/>
      <c r="D5" s="12"/>
      <c r="E5" s="12"/>
      <c r="F5" s="12"/>
      <c r="G5" s="12"/>
    </row>
    <row r="6" spans="2:14" ht="22" customHeight="1">
      <c r="B6" s="12"/>
      <c r="C6" s="12"/>
      <c r="D6" s="12"/>
      <c r="E6" s="12"/>
      <c r="F6" s="12"/>
      <c r="G6" s="12"/>
    </row>
    <row r="9" spans="2:14" ht="18">
      <c r="B9" s="17" t="s">
        <v>20</v>
      </c>
      <c r="C9" s="18"/>
      <c r="D9" s="17" t="s">
        <v>21</v>
      </c>
      <c r="E9" s="18"/>
      <c r="F9" s="17" t="s">
        <v>22</v>
      </c>
      <c r="G9" s="18"/>
      <c r="I9" s="17" t="s">
        <v>23</v>
      </c>
      <c r="J9" s="18"/>
      <c r="L9" s="11" t="s">
        <v>8</v>
      </c>
      <c r="M9" s="12"/>
      <c r="N9" s="12"/>
    </row>
    <row r="10" spans="2:14" ht="18">
      <c r="B10" s="1" t="s">
        <v>24</v>
      </c>
      <c r="C10" s="1" t="s">
        <v>25</v>
      </c>
      <c r="D10" s="1" t="s">
        <v>24</v>
      </c>
      <c r="E10" s="1" t="s">
        <v>25</v>
      </c>
      <c r="F10" s="1" t="s">
        <v>24</v>
      </c>
      <c r="G10" s="1" t="s">
        <v>25</v>
      </c>
      <c r="I10" s="1" t="s">
        <v>24</v>
      </c>
      <c r="J10" s="1" t="s">
        <v>25</v>
      </c>
      <c r="L10" s="14" t="s">
        <v>26</v>
      </c>
      <c r="M10" s="12"/>
      <c r="N10" s="12"/>
    </row>
    <row r="11" spans="2:14" ht="17">
      <c r="B11" s="2">
        <v>10</v>
      </c>
      <c r="C11" s="2">
        <v>18</v>
      </c>
      <c r="D11" s="2">
        <v>10</v>
      </c>
      <c r="E11" s="2">
        <v>30</v>
      </c>
      <c r="F11" s="2">
        <v>10</v>
      </c>
      <c r="G11" s="2">
        <v>45</v>
      </c>
      <c r="I11" s="2">
        <v>10</v>
      </c>
      <c r="J11" s="2">
        <v>55</v>
      </c>
      <c r="L11" s="12"/>
      <c r="M11" s="12"/>
      <c r="N11" s="12"/>
    </row>
    <row r="12" spans="2:14" ht="17">
      <c r="B12" s="2">
        <v>18</v>
      </c>
      <c r="C12" s="2">
        <v>24</v>
      </c>
      <c r="D12" s="2">
        <v>18</v>
      </c>
      <c r="E12" s="2">
        <v>42</v>
      </c>
      <c r="F12" s="2">
        <v>18</v>
      </c>
      <c r="G12" s="2">
        <v>30</v>
      </c>
      <c r="I12" s="2">
        <v>18</v>
      </c>
      <c r="J12" s="2">
        <v>30</v>
      </c>
      <c r="L12" s="12"/>
      <c r="M12" s="12"/>
      <c r="N12" s="12"/>
    </row>
    <row r="13" spans="2:14" ht="17">
      <c r="B13" s="2">
        <v>25</v>
      </c>
      <c r="C13" s="2">
        <v>30</v>
      </c>
      <c r="D13" s="2">
        <v>25</v>
      </c>
      <c r="E13" s="2">
        <v>30</v>
      </c>
      <c r="F13" s="2">
        <v>25</v>
      </c>
      <c r="G13" s="2">
        <v>55</v>
      </c>
      <c r="I13" s="2">
        <v>25</v>
      </c>
      <c r="J13" s="2">
        <v>78</v>
      </c>
      <c r="L13" s="12"/>
      <c r="M13" s="12"/>
      <c r="N13" s="12"/>
    </row>
    <row r="14" spans="2:14" ht="17">
      <c r="B14" s="2">
        <v>32</v>
      </c>
      <c r="C14" s="2">
        <v>36</v>
      </c>
      <c r="D14" s="2">
        <v>32</v>
      </c>
      <c r="E14" s="2">
        <v>55</v>
      </c>
      <c r="F14" s="2">
        <v>32</v>
      </c>
      <c r="G14" s="2">
        <v>40</v>
      </c>
      <c r="I14" s="2">
        <v>32</v>
      </c>
      <c r="J14" s="2">
        <v>42</v>
      </c>
      <c r="L14" s="12"/>
      <c r="M14" s="12"/>
      <c r="N14" s="12"/>
    </row>
    <row r="15" spans="2:14" ht="17">
      <c r="B15" s="2">
        <v>40</v>
      </c>
      <c r="C15" s="2">
        <v>46</v>
      </c>
      <c r="D15" s="2">
        <v>40</v>
      </c>
      <c r="E15" s="2">
        <v>40</v>
      </c>
      <c r="F15" s="2">
        <v>40</v>
      </c>
      <c r="G15" s="2">
        <v>65</v>
      </c>
      <c r="I15" s="2">
        <v>40</v>
      </c>
      <c r="J15" s="2">
        <v>25</v>
      </c>
    </row>
    <row r="16" spans="2:14" ht="17">
      <c r="B16" s="2">
        <v>48</v>
      </c>
      <c r="C16" s="2">
        <v>54</v>
      </c>
      <c r="D16" s="2">
        <v>48</v>
      </c>
      <c r="E16" s="2">
        <v>62</v>
      </c>
      <c r="F16" s="2">
        <v>48</v>
      </c>
      <c r="G16" s="2">
        <v>38</v>
      </c>
      <c r="I16" s="2">
        <v>48</v>
      </c>
      <c r="J16" s="2">
        <v>70</v>
      </c>
      <c r="L16" s="11" t="s">
        <v>12</v>
      </c>
      <c r="M16" s="12"/>
      <c r="N16" s="12"/>
    </row>
    <row r="17" spans="2:14" ht="17">
      <c r="B17" s="2">
        <v>55</v>
      </c>
      <c r="C17" s="2">
        <v>60</v>
      </c>
      <c r="D17" s="2">
        <v>55</v>
      </c>
      <c r="E17" s="2">
        <v>50</v>
      </c>
      <c r="F17" s="2">
        <v>55</v>
      </c>
      <c r="G17" s="2">
        <v>68</v>
      </c>
      <c r="I17" s="2">
        <v>55</v>
      </c>
      <c r="J17" s="2">
        <v>38</v>
      </c>
      <c r="L17" s="14" t="s">
        <v>27</v>
      </c>
      <c r="M17" s="12"/>
      <c r="N17" s="12"/>
    </row>
    <row r="18" spans="2:14" ht="17">
      <c r="B18" s="2">
        <v>62</v>
      </c>
      <c r="C18" s="2">
        <v>68</v>
      </c>
      <c r="D18" s="2">
        <v>62</v>
      </c>
      <c r="E18" s="2">
        <v>70</v>
      </c>
      <c r="F18" s="2">
        <v>62</v>
      </c>
      <c r="G18" s="2">
        <v>42</v>
      </c>
      <c r="I18" s="2">
        <v>62</v>
      </c>
      <c r="J18" s="2">
        <v>58</v>
      </c>
      <c r="L18" s="12"/>
      <c r="M18" s="12"/>
      <c r="N18" s="12"/>
    </row>
    <row r="19" spans="2:14" ht="17">
      <c r="B19" s="2">
        <v>70</v>
      </c>
      <c r="C19" s="2">
        <v>76</v>
      </c>
      <c r="D19" s="2">
        <v>70</v>
      </c>
      <c r="E19" s="2">
        <v>58</v>
      </c>
      <c r="F19" s="2">
        <v>70</v>
      </c>
      <c r="G19" s="2">
        <v>70</v>
      </c>
      <c r="I19" s="2">
        <v>70</v>
      </c>
      <c r="J19" s="2">
        <v>30</v>
      </c>
      <c r="L19" s="12"/>
      <c r="M19" s="12"/>
      <c r="N19" s="12"/>
    </row>
    <row r="20" spans="2:14" ht="17">
      <c r="B20" s="2">
        <v>78</v>
      </c>
      <c r="C20" s="2">
        <v>82</v>
      </c>
      <c r="D20" s="2">
        <v>78</v>
      </c>
      <c r="E20" s="2">
        <v>78</v>
      </c>
      <c r="F20" s="2">
        <v>78</v>
      </c>
      <c r="G20" s="2">
        <v>52</v>
      </c>
      <c r="I20" s="2">
        <v>78</v>
      </c>
      <c r="J20" s="2">
        <v>65</v>
      </c>
      <c r="L20" s="12"/>
      <c r="M20" s="12"/>
      <c r="N20" s="12"/>
    </row>
    <row r="21" spans="2:14" ht="17">
      <c r="B21" s="2">
        <v>85</v>
      </c>
      <c r="C21" s="2">
        <v>88</v>
      </c>
      <c r="D21" s="2">
        <v>85</v>
      </c>
      <c r="E21" s="2">
        <v>68</v>
      </c>
      <c r="F21" s="2">
        <v>85</v>
      </c>
      <c r="G21" s="2">
        <v>75</v>
      </c>
      <c r="I21" s="2">
        <v>85</v>
      </c>
      <c r="J21" s="2">
        <v>48</v>
      </c>
      <c r="L21" s="12"/>
      <c r="M21" s="12"/>
      <c r="N21" s="12"/>
    </row>
    <row r="22" spans="2:14" ht="17">
      <c r="B22" s="2">
        <v>92</v>
      </c>
      <c r="C22" s="2">
        <v>94</v>
      </c>
      <c r="D22" s="2">
        <v>92</v>
      </c>
      <c r="E22" s="2">
        <v>85</v>
      </c>
      <c r="F22" s="2">
        <v>92</v>
      </c>
      <c r="G22" s="2">
        <v>58</v>
      </c>
      <c r="I22" s="2">
        <v>92</v>
      </c>
      <c r="J22" s="2">
        <v>38</v>
      </c>
    </row>
    <row r="23" spans="2:14">
      <c r="L23" s="11" t="s">
        <v>16</v>
      </c>
      <c r="M23" s="12"/>
      <c r="N23" s="12"/>
    </row>
    <row r="24" spans="2:14" ht="19">
      <c r="B24" s="5" t="s">
        <v>28</v>
      </c>
      <c r="C24" s="3"/>
      <c r="E24" s="3"/>
      <c r="G24" s="3"/>
      <c r="J24" s="3"/>
      <c r="L24" s="14" t="s">
        <v>29</v>
      </c>
      <c r="M24" s="12"/>
      <c r="N24" s="12"/>
    </row>
    <row r="25" spans="2:14">
      <c r="L25" s="12"/>
      <c r="M25" s="12"/>
      <c r="N25" s="12"/>
    </row>
    <row r="26" spans="2:14">
      <c r="L26" s="12"/>
      <c r="M26" s="12"/>
      <c r="N26" s="12"/>
    </row>
    <row r="27" spans="2:14">
      <c r="L27" s="12"/>
      <c r="M27" s="12"/>
      <c r="N27" s="12"/>
    </row>
    <row r="28" spans="2:14">
      <c r="L28" s="12"/>
      <c r="M28" s="12"/>
      <c r="N28" s="12"/>
    </row>
  </sheetData>
  <mergeCells count="12">
    <mergeCell ref="B2:G2"/>
    <mergeCell ref="L10:N14"/>
    <mergeCell ref="L16:N16"/>
    <mergeCell ref="L24:N28"/>
    <mergeCell ref="L23:N23"/>
    <mergeCell ref="L9:N9"/>
    <mergeCell ref="B4:G6"/>
    <mergeCell ref="B9:C9"/>
    <mergeCell ref="D9:E9"/>
    <mergeCell ref="I9:J9"/>
    <mergeCell ref="F9:G9"/>
    <mergeCell ref="L17:N21"/>
  </mergeCells>
  <phoneticPr fontId="8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32"/>
  <sheetViews>
    <sheetView showGridLines="0" workbookViewId="0"/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14" width="14" customWidth="1"/>
  </cols>
  <sheetData>
    <row r="1" spans="2:13" ht="12" customHeight="1"/>
    <row r="2" spans="2:13" ht="30" customHeight="1">
      <c r="B2" s="13" t="s">
        <v>30</v>
      </c>
      <c r="C2" s="12"/>
      <c r="D2" s="12"/>
      <c r="E2" s="12"/>
      <c r="F2" s="12"/>
      <c r="G2" s="12"/>
    </row>
    <row r="3" spans="2:13" ht="6" customHeight="1"/>
    <row r="4" spans="2:13" ht="22" customHeight="1">
      <c r="B4" s="16" t="s">
        <v>31</v>
      </c>
      <c r="C4" s="12"/>
      <c r="D4" s="12"/>
      <c r="E4" s="12"/>
      <c r="F4" s="12"/>
      <c r="G4" s="12"/>
    </row>
    <row r="5" spans="2:13" ht="22" customHeight="1">
      <c r="B5" s="12"/>
      <c r="C5" s="12"/>
      <c r="D5" s="12"/>
      <c r="E5" s="12"/>
      <c r="F5" s="12"/>
      <c r="G5" s="12"/>
    </row>
    <row r="6" spans="2:13" ht="22" customHeight="1">
      <c r="B6" s="12"/>
      <c r="C6" s="12"/>
      <c r="D6" s="12"/>
      <c r="E6" s="12"/>
      <c r="F6" s="12"/>
      <c r="G6" s="12"/>
    </row>
    <row r="9" spans="2:13" ht="18">
      <c r="B9" s="1" t="s">
        <v>32</v>
      </c>
      <c r="C9" s="1" t="s">
        <v>33</v>
      </c>
      <c r="D9" s="1" t="s">
        <v>34</v>
      </c>
      <c r="I9" s="11" t="s">
        <v>8</v>
      </c>
      <c r="J9" s="12"/>
      <c r="K9" s="12"/>
      <c r="L9" s="12"/>
      <c r="M9" s="12"/>
    </row>
    <row r="10" spans="2:13" ht="17">
      <c r="B10" s="2">
        <v>0.5</v>
      </c>
      <c r="C10" s="3">
        <f>10-B10</f>
        <v>9.5</v>
      </c>
      <c r="D10" s="3">
        <f>B10*C10</f>
        <v>4.75</v>
      </c>
      <c r="I10" s="14" t="s">
        <v>35</v>
      </c>
      <c r="J10" s="12"/>
      <c r="K10" s="12"/>
      <c r="L10" s="12"/>
      <c r="M10" s="12"/>
    </row>
    <row r="11" spans="2:13" ht="17">
      <c r="B11" s="2">
        <v>1</v>
      </c>
      <c r="C11" s="4"/>
      <c r="D11" s="4"/>
      <c r="I11" s="12"/>
      <c r="J11" s="12"/>
      <c r="K11" s="12"/>
      <c r="L11" s="12"/>
      <c r="M11" s="12"/>
    </row>
    <row r="12" spans="2:13" ht="17">
      <c r="B12" s="2">
        <v>1.5</v>
      </c>
      <c r="C12" s="4"/>
      <c r="D12" s="4"/>
      <c r="I12" s="12"/>
      <c r="J12" s="12"/>
      <c r="K12" s="12"/>
      <c r="L12" s="12"/>
      <c r="M12" s="12"/>
    </row>
    <row r="13" spans="2:13" ht="17">
      <c r="B13" s="2">
        <v>2</v>
      </c>
      <c r="C13" s="4"/>
      <c r="D13" s="4"/>
      <c r="I13" s="12"/>
      <c r="J13" s="12"/>
      <c r="K13" s="12"/>
      <c r="L13" s="12"/>
      <c r="M13" s="12"/>
    </row>
    <row r="14" spans="2:13" ht="17">
      <c r="B14" s="2">
        <v>2.5</v>
      </c>
      <c r="C14" s="4"/>
      <c r="D14" s="4"/>
      <c r="I14" s="12"/>
      <c r="J14" s="12"/>
      <c r="K14" s="12"/>
      <c r="L14" s="12"/>
      <c r="M14" s="12"/>
    </row>
    <row r="15" spans="2:13" ht="17">
      <c r="B15" s="2">
        <v>3</v>
      </c>
      <c r="C15" s="4"/>
      <c r="D15" s="4"/>
    </row>
    <row r="16" spans="2:13" ht="17">
      <c r="B16" s="2">
        <v>3.5</v>
      </c>
      <c r="C16" s="4"/>
      <c r="D16" s="4"/>
      <c r="I16" s="11" t="s">
        <v>12</v>
      </c>
      <c r="J16" s="12"/>
      <c r="K16" s="12"/>
      <c r="L16" s="12"/>
      <c r="M16" s="12"/>
    </row>
    <row r="17" spans="2:13" ht="17">
      <c r="B17" s="2">
        <v>4</v>
      </c>
      <c r="C17" s="4"/>
      <c r="D17" s="4"/>
      <c r="I17" s="14" t="s">
        <v>36</v>
      </c>
      <c r="J17" s="12"/>
      <c r="K17" s="12"/>
      <c r="L17" s="12"/>
      <c r="M17" s="12"/>
    </row>
    <row r="18" spans="2:13" ht="17">
      <c r="B18" s="2">
        <v>4.5</v>
      </c>
      <c r="C18" s="4"/>
      <c r="D18" s="4"/>
      <c r="I18" s="12"/>
      <c r="J18" s="12"/>
      <c r="K18" s="12"/>
      <c r="L18" s="12"/>
      <c r="M18" s="12"/>
    </row>
    <row r="19" spans="2:13" ht="17">
      <c r="B19" s="2">
        <v>5</v>
      </c>
      <c r="C19" s="4"/>
      <c r="D19" s="4"/>
      <c r="I19" s="12"/>
      <c r="J19" s="12"/>
      <c r="K19" s="12"/>
      <c r="L19" s="12"/>
      <c r="M19" s="12"/>
    </row>
    <row r="20" spans="2:13" ht="17">
      <c r="B20" s="2">
        <v>5.5</v>
      </c>
      <c r="C20" s="4"/>
      <c r="D20" s="4"/>
      <c r="I20" s="12"/>
      <c r="J20" s="12"/>
      <c r="K20" s="12"/>
      <c r="L20" s="12"/>
      <c r="M20" s="12"/>
    </row>
    <row r="21" spans="2:13" ht="17">
      <c r="B21" s="2">
        <v>6</v>
      </c>
      <c r="C21" s="4"/>
      <c r="D21" s="4"/>
      <c r="I21" s="12"/>
      <c r="J21" s="12"/>
      <c r="K21" s="12"/>
      <c r="L21" s="12"/>
      <c r="M21" s="12"/>
    </row>
    <row r="22" spans="2:13" ht="17">
      <c r="B22" s="2">
        <v>6.5</v>
      </c>
      <c r="C22" s="4"/>
      <c r="D22" s="4"/>
    </row>
    <row r="23" spans="2:13" ht="17">
      <c r="B23" s="2">
        <v>7</v>
      </c>
      <c r="C23" s="4"/>
      <c r="D23" s="4"/>
      <c r="I23" s="11" t="s">
        <v>16</v>
      </c>
      <c r="J23" s="12"/>
      <c r="K23" s="12"/>
      <c r="L23" s="12"/>
      <c r="M23" s="12"/>
    </row>
    <row r="24" spans="2:13" ht="17">
      <c r="B24" s="2">
        <v>7.5</v>
      </c>
      <c r="C24" s="4"/>
      <c r="D24" s="4"/>
      <c r="I24" s="14" t="s">
        <v>37</v>
      </c>
      <c r="J24" s="12"/>
      <c r="K24" s="12"/>
      <c r="L24" s="12"/>
      <c r="M24" s="12"/>
    </row>
    <row r="25" spans="2:13" ht="17">
      <c r="B25" s="2">
        <v>8</v>
      </c>
      <c r="C25" s="4"/>
      <c r="D25" s="4"/>
      <c r="I25" s="12"/>
      <c r="J25" s="12"/>
      <c r="K25" s="12"/>
      <c r="L25" s="12"/>
      <c r="M25" s="12"/>
    </row>
    <row r="26" spans="2:13" ht="17">
      <c r="B26" s="2">
        <v>8.5</v>
      </c>
      <c r="C26" s="4"/>
      <c r="D26" s="4"/>
      <c r="I26" s="12"/>
      <c r="J26" s="12"/>
      <c r="K26" s="12"/>
      <c r="L26" s="12"/>
      <c r="M26" s="12"/>
    </row>
    <row r="27" spans="2:13" ht="17">
      <c r="B27" s="2">
        <v>9</v>
      </c>
      <c r="C27" s="4"/>
      <c r="D27" s="4"/>
      <c r="I27" s="12"/>
      <c r="J27" s="12"/>
      <c r="K27" s="12"/>
      <c r="L27" s="12"/>
      <c r="M27" s="12"/>
    </row>
    <row r="28" spans="2:13" ht="17">
      <c r="B28" s="2">
        <v>9.5</v>
      </c>
      <c r="C28" s="4"/>
      <c r="D28" s="4"/>
    </row>
    <row r="31" spans="2:13" ht="18">
      <c r="B31" s="7" t="s">
        <v>38</v>
      </c>
      <c r="C31" s="3">
        <f>MAX(D10:D28)</f>
        <v>4.75</v>
      </c>
      <c r="D31" s="8" t="s">
        <v>39</v>
      </c>
    </row>
    <row r="32" spans="2:13" ht="18">
      <c r="B32" s="7" t="s">
        <v>40</v>
      </c>
      <c r="C32" s="3">
        <f>INDEX(B10:B28,MATCH(MAX(D10:D28),D10:D28,0))</f>
        <v>0.5</v>
      </c>
      <c r="D32" s="8" t="s">
        <v>41</v>
      </c>
    </row>
  </sheetData>
  <mergeCells count="8">
    <mergeCell ref="I9:M9"/>
    <mergeCell ref="B2:G2"/>
    <mergeCell ref="I16:M16"/>
    <mergeCell ref="I24:M27"/>
    <mergeCell ref="B4:G6"/>
    <mergeCell ref="I23:M23"/>
    <mergeCell ref="I10:M14"/>
    <mergeCell ref="I17:M21"/>
  </mergeCells>
  <phoneticPr fontId="8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34"/>
  <sheetViews>
    <sheetView showGridLines="0" workbookViewId="0"/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14" width="14" customWidth="1"/>
  </cols>
  <sheetData>
    <row r="1" spans="2:13" ht="12" customHeight="1"/>
    <row r="2" spans="2:13" ht="30" customHeight="1">
      <c r="B2" s="13" t="s">
        <v>42</v>
      </c>
      <c r="C2" s="12"/>
      <c r="D2" s="12"/>
      <c r="E2" s="12"/>
      <c r="F2" s="12"/>
      <c r="G2" s="12"/>
    </row>
    <row r="3" spans="2:13" ht="6" customHeight="1"/>
    <row r="4" spans="2:13" ht="22" customHeight="1">
      <c r="B4" s="16" t="s">
        <v>43</v>
      </c>
      <c r="C4" s="12"/>
      <c r="D4" s="12"/>
      <c r="E4" s="12"/>
      <c r="F4" s="12"/>
      <c r="G4" s="12"/>
    </row>
    <row r="5" spans="2:13" ht="22" customHeight="1">
      <c r="B5" s="12"/>
      <c r="C5" s="12"/>
      <c r="D5" s="12"/>
      <c r="E5" s="12"/>
      <c r="F5" s="12"/>
      <c r="G5" s="12"/>
    </row>
    <row r="6" spans="2:13" ht="22" customHeight="1">
      <c r="B6" s="12"/>
      <c r="C6" s="12"/>
      <c r="D6" s="12"/>
      <c r="E6" s="12"/>
      <c r="F6" s="12"/>
      <c r="G6" s="12"/>
    </row>
    <row r="9" spans="2:13" ht="18">
      <c r="B9" s="1" t="s">
        <v>44</v>
      </c>
      <c r="C9" s="1" t="s">
        <v>45</v>
      </c>
      <c r="D9" s="1" t="s">
        <v>46</v>
      </c>
      <c r="I9" s="11" t="s">
        <v>8</v>
      </c>
      <c r="J9" s="12"/>
      <c r="K9" s="12"/>
      <c r="L9" s="12"/>
      <c r="M9" s="12"/>
    </row>
    <row r="10" spans="2:13" ht="17">
      <c r="B10" s="2">
        <v>0</v>
      </c>
      <c r="C10" s="3">
        <f>200-2*B10</f>
        <v>200</v>
      </c>
      <c r="D10" s="3">
        <f>B10*C10</f>
        <v>0</v>
      </c>
      <c r="I10" s="14" t="s">
        <v>47</v>
      </c>
      <c r="J10" s="12"/>
      <c r="K10" s="12"/>
      <c r="L10" s="12"/>
      <c r="M10" s="12"/>
    </row>
    <row r="11" spans="2:13" ht="17">
      <c r="B11" s="2">
        <v>5</v>
      </c>
      <c r="C11" s="4"/>
      <c r="D11" s="4"/>
      <c r="I11" s="12"/>
      <c r="J11" s="12"/>
      <c r="K11" s="12"/>
      <c r="L11" s="12"/>
      <c r="M11" s="12"/>
    </row>
    <row r="12" spans="2:13" ht="17">
      <c r="B12" s="2">
        <v>10</v>
      </c>
      <c r="C12" s="4"/>
      <c r="D12" s="4"/>
      <c r="I12" s="12"/>
      <c r="J12" s="12"/>
      <c r="K12" s="12"/>
      <c r="L12" s="12"/>
      <c r="M12" s="12"/>
    </row>
    <row r="13" spans="2:13" ht="17">
      <c r="B13" s="2">
        <v>15</v>
      </c>
      <c r="C13" s="4"/>
      <c r="D13" s="4"/>
      <c r="I13" s="12"/>
      <c r="J13" s="12"/>
      <c r="K13" s="12"/>
      <c r="L13" s="12"/>
      <c r="M13" s="12"/>
    </row>
    <row r="14" spans="2:13" ht="17">
      <c r="B14" s="2">
        <v>20</v>
      </c>
      <c r="C14" s="4"/>
      <c r="D14" s="4"/>
      <c r="I14" s="12"/>
      <c r="J14" s="12"/>
      <c r="K14" s="12"/>
      <c r="L14" s="12"/>
      <c r="M14" s="12"/>
    </row>
    <row r="15" spans="2:13" ht="17">
      <c r="B15" s="2">
        <v>25</v>
      </c>
      <c r="C15" s="4"/>
      <c r="D15" s="4"/>
    </row>
    <row r="16" spans="2:13" ht="17">
      <c r="B16" s="2">
        <v>30</v>
      </c>
      <c r="C16" s="4"/>
      <c r="D16" s="4"/>
      <c r="I16" s="11" t="s">
        <v>12</v>
      </c>
      <c r="J16" s="12"/>
      <c r="K16" s="12"/>
      <c r="L16" s="12"/>
      <c r="M16" s="12"/>
    </row>
    <row r="17" spans="2:13" ht="17">
      <c r="B17" s="2">
        <v>35</v>
      </c>
      <c r="C17" s="4"/>
      <c r="D17" s="4"/>
      <c r="I17" s="14" t="s">
        <v>48</v>
      </c>
      <c r="J17" s="12"/>
      <c r="K17" s="12"/>
      <c r="L17" s="12"/>
      <c r="M17" s="12"/>
    </row>
    <row r="18" spans="2:13" ht="17">
      <c r="B18" s="2">
        <v>40</v>
      </c>
      <c r="C18" s="4"/>
      <c r="D18" s="4"/>
      <c r="I18" s="12"/>
      <c r="J18" s="12"/>
      <c r="K18" s="12"/>
      <c r="L18" s="12"/>
      <c r="M18" s="12"/>
    </row>
    <row r="19" spans="2:13" ht="17">
      <c r="B19" s="2">
        <v>45</v>
      </c>
      <c r="C19" s="4"/>
      <c r="D19" s="4"/>
      <c r="I19" s="12"/>
      <c r="J19" s="12"/>
      <c r="K19" s="12"/>
      <c r="L19" s="12"/>
      <c r="M19" s="12"/>
    </row>
    <row r="20" spans="2:13" ht="17">
      <c r="B20" s="2">
        <v>50</v>
      </c>
      <c r="C20" s="4"/>
      <c r="D20" s="4"/>
      <c r="I20" s="12"/>
      <c r="J20" s="12"/>
      <c r="K20" s="12"/>
      <c r="L20" s="12"/>
      <c r="M20" s="12"/>
    </row>
    <row r="21" spans="2:13" ht="17">
      <c r="B21" s="2">
        <v>55</v>
      </c>
      <c r="C21" s="4"/>
      <c r="D21" s="4"/>
      <c r="I21" s="12"/>
      <c r="J21" s="12"/>
      <c r="K21" s="12"/>
      <c r="L21" s="12"/>
      <c r="M21" s="12"/>
    </row>
    <row r="22" spans="2:13" ht="17">
      <c r="B22" s="2">
        <v>60</v>
      </c>
      <c r="C22" s="4"/>
      <c r="D22" s="4"/>
      <c r="I22" s="12"/>
      <c r="J22" s="12"/>
      <c r="K22" s="12"/>
      <c r="L22" s="12"/>
      <c r="M22" s="12"/>
    </row>
    <row r="23" spans="2:13" ht="17">
      <c r="B23" s="2">
        <v>65</v>
      </c>
      <c r="C23" s="4"/>
      <c r="D23" s="4"/>
    </row>
    <row r="24" spans="2:13" ht="17">
      <c r="B24" s="2">
        <v>70</v>
      </c>
      <c r="C24" s="4"/>
      <c r="D24" s="4"/>
      <c r="I24" s="11" t="s">
        <v>16</v>
      </c>
      <c r="J24" s="12"/>
      <c r="K24" s="12"/>
      <c r="L24" s="12"/>
      <c r="M24" s="12"/>
    </row>
    <row r="25" spans="2:13" ht="17">
      <c r="B25" s="2">
        <v>75</v>
      </c>
      <c r="C25" s="4"/>
      <c r="D25" s="4"/>
      <c r="I25" s="14" t="s">
        <v>49</v>
      </c>
      <c r="J25" s="12"/>
      <c r="K25" s="12"/>
      <c r="L25" s="12"/>
      <c r="M25" s="12"/>
    </row>
    <row r="26" spans="2:13" ht="17">
      <c r="B26" s="2">
        <v>80</v>
      </c>
      <c r="C26" s="4"/>
      <c r="D26" s="4"/>
      <c r="I26" s="12"/>
      <c r="J26" s="12"/>
      <c r="K26" s="12"/>
      <c r="L26" s="12"/>
      <c r="M26" s="12"/>
    </row>
    <row r="27" spans="2:13" ht="17">
      <c r="B27" s="2">
        <v>85</v>
      </c>
      <c r="C27" s="4"/>
      <c r="D27" s="4"/>
      <c r="I27" s="12"/>
      <c r="J27" s="12"/>
      <c r="K27" s="12"/>
      <c r="L27" s="12"/>
      <c r="M27" s="12"/>
    </row>
    <row r="28" spans="2:13" ht="17">
      <c r="B28" s="2">
        <v>90</v>
      </c>
      <c r="C28" s="4"/>
      <c r="D28" s="4"/>
      <c r="I28" s="12"/>
      <c r="J28" s="12"/>
      <c r="K28" s="12"/>
      <c r="L28" s="12"/>
      <c r="M28" s="12"/>
    </row>
    <row r="29" spans="2:13" ht="17">
      <c r="B29" s="2">
        <v>95</v>
      </c>
      <c r="C29" s="4"/>
      <c r="D29" s="4"/>
    </row>
    <row r="30" spans="2:13" ht="17">
      <c r="B30" s="2">
        <v>100</v>
      </c>
      <c r="C30" s="4"/>
      <c r="D30" s="4"/>
    </row>
    <row r="33" spans="2:4" ht="18">
      <c r="B33" s="7" t="s">
        <v>50</v>
      </c>
      <c r="C33" s="3">
        <f>MAX(D10:D30)</f>
        <v>0</v>
      </c>
      <c r="D33" s="8" t="s">
        <v>51</v>
      </c>
    </row>
    <row r="34" spans="2:4" ht="18">
      <c r="B34" s="7" t="s">
        <v>52</v>
      </c>
      <c r="C34" s="3">
        <f>INDEX(B10:B30,MATCH(MAX(D10:D30),D10:D30,0))</f>
        <v>0</v>
      </c>
      <c r="D34" s="8" t="s">
        <v>51</v>
      </c>
    </row>
  </sheetData>
  <mergeCells count="8">
    <mergeCell ref="I9:M9"/>
    <mergeCell ref="B2:G2"/>
    <mergeCell ref="I16:M16"/>
    <mergeCell ref="I24:M24"/>
    <mergeCell ref="I25:M28"/>
    <mergeCell ref="B4:G6"/>
    <mergeCell ref="I10:M14"/>
    <mergeCell ref="I17:M22"/>
  </mergeCells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N40"/>
  <sheetViews>
    <sheetView showGridLines="0" topLeftCell="A2" workbookViewId="0">
      <selection activeCell="J14" sqref="J14"/>
    </sheetView>
  </sheetViews>
  <sheetFormatPr baseColWidth="10" defaultColWidth="8.83203125" defaultRowHeight="14"/>
  <cols>
    <col min="1" max="1" width="2" customWidth="1"/>
    <col min="2" max="3" width="14" customWidth="1"/>
    <col min="4" max="4" width="21.1640625" customWidth="1"/>
    <col min="5" max="7" width="14" customWidth="1"/>
    <col min="8" max="8" width="4" customWidth="1"/>
    <col min="9" max="11" width="14" customWidth="1"/>
    <col min="12" max="14" width="31.1640625" customWidth="1"/>
  </cols>
  <sheetData>
    <row r="1" spans="2:14" ht="12" customHeight="1"/>
    <row r="2" spans="2:14" ht="30" customHeight="1">
      <c r="B2" s="13" t="s">
        <v>53</v>
      </c>
      <c r="C2" s="12"/>
      <c r="D2" s="12"/>
      <c r="E2" s="12"/>
      <c r="F2" s="12"/>
      <c r="G2" s="12"/>
    </row>
    <row r="3" spans="2:14" ht="6" customHeight="1"/>
    <row r="4" spans="2:14" ht="22" customHeight="1">
      <c r="B4" s="16" t="s">
        <v>54</v>
      </c>
      <c r="C4" s="12"/>
      <c r="D4" s="12"/>
      <c r="E4" s="12"/>
      <c r="F4" s="12"/>
      <c r="G4" s="12"/>
    </row>
    <row r="5" spans="2:14" ht="22" customHeight="1">
      <c r="B5" s="12"/>
      <c r="C5" s="12"/>
      <c r="D5" s="12"/>
      <c r="E5" s="12"/>
      <c r="F5" s="12"/>
      <c r="G5" s="12"/>
    </row>
    <row r="6" spans="2:14" ht="22" customHeight="1">
      <c r="B6" s="12"/>
      <c r="C6" s="12"/>
      <c r="D6" s="12"/>
      <c r="E6" s="12"/>
      <c r="F6" s="12"/>
      <c r="G6" s="12"/>
    </row>
    <row r="9" spans="2:14" ht="18">
      <c r="B9" s="1" t="s">
        <v>55</v>
      </c>
      <c r="C9" s="1" t="s">
        <v>56</v>
      </c>
      <c r="D9" s="1" t="s">
        <v>57</v>
      </c>
      <c r="E9" s="1" t="s">
        <v>58</v>
      </c>
      <c r="F9" s="1" t="s">
        <v>59</v>
      </c>
      <c r="I9" s="1" t="s">
        <v>60</v>
      </c>
      <c r="L9" s="11" t="s">
        <v>8</v>
      </c>
      <c r="M9" s="12"/>
      <c r="N9" s="12"/>
    </row>
    <row r="10" spans="2:14" ht="17">
      <c r="B10" s="2">
        <v>20</v>
      </c>
      <c r="C10" s="2">
        <v>80</v>
      </c>
      <c r="D10" s="3">
        <f>$I$10*(B10-28)+130</f>
        <v>90</v>
      </c>
      <c r="E10" s="3">
        <f>C10-D10</f>
        <v>-10</v>
      </c>
      <c r="F10" s="3">
        <f>E10^2</f>
        <v>100</v>
      </c>
      <c r="I10" s="3">
        <v>5</v>
      </c>
      <c r="L10" s="14" t="s">
        <v>61</v>
      </c>
      <c r="M10" s="12"/>
      <c r="N10" s="12"/>
    </row>
    <row r="11" spans="2:14" ht="17">
      <c r="B11" s="2">
        <v>24</v>
      </c>
      <c r="C11" s="2">
        <v>100</v>
      </c>
      <c r="D11" s="4"/>
      <c r="E11" s="4"/>
      <c r="F11" s="4"/>
      <c r="L11" s="12"/>
      <c r="M11" s="12"/>
      <c r="N11" s="12"/>
    </row>
    <row r="12" spans="2:14" ht="18">
      <c r="B12" s="2">
        <v>28</v>
      </c>
      <c r="C12" s="2">
        <v>130</v>
      </c>
      <c r="D12" s="4"/>
      <c r="E12" s="4"/>
      <c r="F12" s="4"/>
      <c r="I12" s="19" t="s">
        <v>62</v>
      </c>
      <c r="J12" s="12"/>
      <c r="L12" s="12"/>
      <c r="M12" s="12"/>
      <c r="N12" s="12"/>
    </row>
    <row r="13" spans="2:14" ht="18">
      <c r="B13" s="2">
        <v>32</v>
      </c>
      <c r="C13" s="2">
        <v>160</v>
      </c>
      <c r="D13" s="4"/>
      <c r="E13" s="4"/>
      <c r="F13" s="4"/>
      <c r="I13" s="1" t="s">
        <v>63</v>
      </c>
      <c r="J13" s="1" t="s">
        <v>64</v>
      </c>
    </row>
    <row r="14" spans="2:14" ht="17">
      <c r="B14" s="2">
        <v>36</v>
      </c>
      <c r="C14" s="2">
        <v>180</v>
      </c>
      <c r="D14" s="4"/>
      <c r="E14" s="4"/>
      <c r="F14" s="4"/>
      <c r="I14" s="2">
        <v>0</v>
      </c>
      <c r="J14" s="3">
        <f>160*I14^2-2080*I14+6800</f>
        <v>6800</v>
      </c>
      <c r="L14" s="11" t="s">
        <v>12</v>
      </c>
      <c r="M14" s="12"/>
      <c r="N14" s="12"/>
    </row>
    <row r="15" spans="2:14" ht="17">
      <c r="I15" s="2">
        <v>0.5</v>
      </c>
      <c r="J15" s="4"/>
      <c r="L15" s="14" t="s">
        <v>65</v>
      </c>
      <c r="M15" s="12"/>
      <c r="N15" s="12"/>
    </row>
    <row r="16" spans="2:14" ht="18">
      <c r="B16" s="19" t="s">
        <v>66</v>
      </c>
      <c r="C16" s="12"/>
      <c r="D16" s="12"/>
      <c r="E16" s="12"/>
      <c r="F16" s="3">
        <f>SUM(F10:F14)</f>
        <v>100</v>
      </c>
      <c r="I16" s="2">
        <v>1</v>
      </c>
      <c r="J16" s="4"/>
      <c r="L16" s="12"/>
      <c r="M16" s="12"/>
      <c r="N16" s="12"/>
    </row>
    <row r="17" spans="9:14" ht="17">
      <c r="I17" s="2">
        <v>1.5</v>
      </c>
      <c r="J17" s="4"/>
      <c r="L17" s="12"/>
      <c r="M17" s="12"/>
      <c r="N17" s="12"/>
    </row>
    <row r="18" spans="9:14" ht="17">
      <c r="I18" s="2">
        <v>2</v>
      </c>
      <c r="J18" s="4"/>
      <c r="L18" s="12"/>
      <c r="M18" s="12"/>
      <c r="N18" s="12"/>
    </row>
    <row r="19" spans="9:14" ht="17">
      <c r="I19" s="2">
        <v>2.5</v>
      </c>
      <c r="J19" s="4"/>
    </row>
    <row r="20" spans="9:14" ht="17">
      <c r="I20" s="2">
        <v>3</v>
      </c>
      <c r="J20" s="4"/>
      <c r="L20" s="11" t="s">
        <v>16</v>
      </c>
      <c r="M20" s="12"/>
      <c r="N20" s="12"/>
    </row>
    <row r="21" spans="9:14" ht="17">
      <c r="I21" s="2">
        <v>3.5</v>
      </c>
      <c r="J21" s="4"/>
      <c r="L21" s="14" t="s">
        <v>67</v>
      </c>
      <c r="M21" s="12"/>
      <c r="N21" s="12"/>
    </row>
    <row r="22" spans="9:14" ht="17">
      <c r="I22" s="2">
        <v>4</v>
      </c>
      <c r="J22" s="4"/>
      <c r="L22" s="12"/>
      <c r="M22" s="12"/>
      <c r="N22" s="12"/>
    </row>
    <row r="23" spans="9:14" ht="17">
      <c r="I23" s="2">
        <v>4.5</v>
      </c>
      <c r="J23" s="4"/>
      <c r="L23" s="12"/>
      <c r="M23" s="12"/>
      <c r="N23" s="12"/>
    </row>
    <row r="24" spans="9:14" ht="17">
      <c r="I24" s="2">
        <v>5</v>
      </c>
      <c r="J24" s="4"/>
      <c r="L24" s="12"/>
      <c r="M24" s="12"/>
      <c r="N24" s="12"/>
    </row>
    <row r="25" spans="9:14" ht="17">
      <c r="I25" s="2">
        <v>5.5</v>
      </c>
      <c r="J25" s="4"/>
      <c r="L25" s="12"/>
      <c r="M25" s="12"/>
      <c r="N25" s="12"/>
    </row>
    <row r="26" spans="9:14" ht="17">
      <c r="I26" s="2">
        <v>6</v>
      </c>
      <c r="J26" s="4"/>
    </row>
    <row r="27" spans="9:14" ht="17">
      <c r="I27" s="2">
        <v>6.5</v>
      </c>
      <c r="J27" s="4"/>
    </row>
    <row r="28" spans="9:14" ht="17">
      <c r="I28" s="2">
        <v>7</v>
      </c>
      <c r="J28" s="4"/>
    </row>
    <row r="29" spans="9:14" ht="17">
      <c r="I29" s="2">
        <v>7.5</v>
      </c>
      <c r="J29" s="4"/>
    </row>
    <row r="30" spans="9:14" ht="17">
      <c r="I30" s="2">
        <v>8</v>
      </c>
      <c r="J30" s="4"/>
    </row>
    <row r="31" spans="9:14" ht="17">
      <c r="I31" s="2">
        <v>8.5</v>
      </c>
      <c r="J31" s="4"/>
    </row>
    <row r="32" spans="9:14" ht="17">
      <c r="I32" s="2">
        <v>9</v>
      </c>
      <c r="J32" s="4"/>
    </row>
    <row r="33" spans="9:10" ht="17">
      <c r="I33" s="2">
        <v>9.5</v>
      </c>
      <c r="J33" s="4"/>
    </row>
    <row r="34" spans="9:10" ht="17">
      <c r="I34" s="2">
        <v>10</v>
      </c>
      <c r="J34" s="4"/>
    </row>
    <row r="35" spans="9:10" ht="17">
      <c r="I35" s="2">
        <v>10.5</v>
      </c>
      <c r="J35" s="4"/>
    </row>
    <row r="36" spans="9:10" ht="17">
      <c r="I36" s="2">
        <v>11</v>
      </c>
      <c r="J36" s="4"/>
    </row>
    <row r="37" spans="9:10" ht="17">
      <c r="I37" s="2">
        <v>11.5</v>
      </c>
      <c r="J37" s="4"/>
    </row>
    <row r="38" spans="9:10" ht="17">
      <c r="I38" s="2">
        <v>12</v>
      </c>
      <c r="J38" s="4"/>
    </row>
    <row r="39" spans="9:10" ht="18">
      <c r="I39" s="7" t="s">
        <v>68</v>
      </c>
      <c r="J39" s="3">
        <f>MIN(J14:J38)</f>
        <v>6800</v>
      </c>
    </row>
    <row r="40" spans="9:10" ht="18">
      <c r="I40" s="7" t="s">
        <v>69</v>
      </c>
      <c r="J40" s="3">
        <f>INDEX(I14:I38,MATCH(MIN(J14:J38),J14:J38,0))</f>
        <v>0</v>
      </c>
    </row>
  </sheetData>
  <mergeCells count="10">
    <mergeCell ref="L20:N20"/>
    <mergeCell ref="L21:N25"/>
    <mergeCell ref="L10:N12"/>
    <mergeCell ref="B2:G2"/>
    <mergeCell ref="I12:J12"/>
    <mergeCell ref="L15:N18"/>
    <mergeCell ref="L14:N14"/>
    <mergeCell ref="B16:E16"/>
    <mergeCell ref="L9:N9"/>
    <mergeCell ref="B4:G6"/>
  </mergeCells>
  <phoneticPr fontId="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L31"/>
  <sheetViews>
    <sheetView showGridLines="0" workbookViewId="0">
      <selection activeCell="E21" sqref="E21"/>
    </sheetView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9" width="14" customWidth="1"/>
    <col min="10" max="12" width="20.33203125" customWidth="1"/>
    <col min="13" max="14" width="14" customWidth="1"/>
  </cols>
  <sheetData>
    <row r="1" spans="2:12" ht="12" customHeight="1"/>
    <row r="2" spans="2:12" ht="30" customHeight="1">
      <c r="B2" s="13" t="s">
        <v>70</v>
      </c>
      <c r="C2" s="12"/>
      <c r="D2" s="12"/>
      <c r="E2" s="12"/>
      <c r="F2" s="12"/>
      <c r="G2" s="12"/>
    </row>
    <row r="3" spans="2:12" ht="6" customHeight="1"/>
    <row r="4" spans="2:12" ht="22" customHeight="1">
      <c r="B4" s="16" t="s">
        <v>71</v>
      </c>
      <c r="C4" s="12"/>
      <c r="D4" s="12"/>
      <c r="E4" s="12"/>
      <c r="F4" s="12"/>
      <c r="G4" s="12"/>
    </row>
    <row r="5" spans="2:12" ht="22" customHeight="1">
      <c r="B5" s="12"/>
      <c r="C5" s="12"/>
      <c r="D5" s="12"/>
      <c r="E5" s="12"/>
      <c r="F5" s="12"/>
      <c r="G5" s="12"/>
    </row>
    <row r="6" spans="2:12" ht="22" customHeight="1">
      <c r="B6" s="12"/>
      <c r="C6" s="12"/>
      <c r="D6" s="12"/>
      <c r="E6" s="12"/>
      <c r="F6" s="12"/>
      <c r="G6" s="12"/>
    </row>
    <row r="9" spans="2:12" ht="18">
      <c r="B9" s="1" t="s">
        <v>72</v>
      </c>
      <c r="C9" s="1" t="s">
        <v>73</v>
      </c>
      <c r="D9" s="1" t="s">
        <v>4</v>
      </c>
      <c r="E9" s="1" t="s">
        <v>58</v>
      </c>
      <c r="I9" s="19" t="s">
        <v>74</v>
      </c>
      <c r="J9" s="12"/>
      <c r="K9" s="12"/>
    </row>
    <row r="10" spans="2:12" ht="18">
      <c r="B10" s="2">
        <v>30</v>
      </c>
      <c r="C10" s="2">
        <v>1500</v>
      </c>
      <c r="D10" s="3">
        <f>$J$10*B10+$J$11</f>
        <v>1550</v>
      </c>
      <c r="E10" s="3">
        <f>C10-D10</f>
        <v>-50</v>
      </c>
      <c r="I10" s="9" t="s">
        <v>75</v>
      </c>
      <c r="J10" s="3">
        <f>SLOPE(C10:C17,B10:B17)</f>
        <v>35</v>
      </c>
    </row>
    <row r="11" spans="2:12" ht="18">
      <c r="B11" s="2">
        <v>40</v>
      </c>
      <c r="C11" s="2">
        <v>1950</v>
      </c>
      <c r="D11" s="4"/>
      <c r="E11" s="4"/>
      <c r="I11" s="9" t="s">
        <v>76</v>
      </c>
      <c r="J11" s="3">
        <f>INTERCEPT(C10:C17,B10:B17)</f>
        <v>500</v>
      </c>
    </row>
    <row r="12" spans="2:12" ht="18">
      <c r="B12" s="2">
        <v>50</v>
      </c>
      <c r="C12" s="2">
        <v>2150</v>
      </c>
      <c r="D12" s="4"/>
      <c r="E12" s="4"/>
      <c r="I12" s="9" t="s">
        <v>77</v>
      </c>
      <c r="J12" s="3">
        <f>RSQ(C10:C17,B10:B17)</f>
        <v>0.9903753609239655</v>
      </c>
    </row>
    <row r="13" spans="2:12" ht="17">
      <c r="B13" s="2">
        <v>60</v>
      </c>
      <c r="C13" s="2">
        <v>2700</v>
      </c>
      <c r="D13" s="4"/>
      <c r="E13" s="4"/>
    </row>
    <row r="14" spans="2:12" ht="17">
      <c r="B14" s="2">
        <v>70</v>
      </c>
      <c r="C14" s="2">
        <v>3000</v>
      </c>
      <c r="D14" s="4"/>
      <c r="E14" s="4"/>
      <c r="I14" s="11" t="s">
        <v>8</v>
      </c>
      <c r="J14" s="12"/>
      <c r="K14" s="12"/>
      <c r="L14" s="12"/>
    </row>
    <row r="15" spans="2:12" ht="17">
      <c r="B15" s="2">
        <v>80</v>
      </c>
      <c r="C15" s="2">
        <v>3250</v>
      </c>
      <c r="D15" s="4"/>
      <c r="E15" s="4"/>
      <c r="I15" s="14" t="s">
        <v>78</v>
      </c>
      <c r="J15" s="12"/>
      <c r="K15" s="12"/>
      <c r="L15" s="12"/>
    </row>
    <row r="16" spans="2:12" ht="17">
      <c r="B16" s="2">
        <v>90</v>
      </c>
      <c r="C16" s="2">
        <v>3750</v>
      </c>
      <c r="D16" s="4"/>
      <c r="E16" s="4"/>
      <c r="I16" s="12"/>
      <c r="J16" s="12"/>
      <c r="K16" s="12"/>
      <c r="L16" s="12"/>
    </row>
    <row r="17" spans="2:12" ht="17">
      <c r="B17" s="2">
        <v>100</v>
      </c>
      <c r="C17" s="2">
        <v>3900</v>
      </c>
      <c r="D17" s="4"/>
      <c r="E17" s="4"/>
      <c r="I17" s="12"/>
      <c r="J17" s="12"/>
      <c r="K17" s="12"/>
      <c r="L17" s="12"/>
    </row>
    <row r="18" spans="2:12">
      <c r="I18" s="12"/>
      <c r="J18" s="12"/>
      <c r="K18" s="12"/>
      <c r="L18" s="12"/>
    </row>
    <row r="19" spans="2:12" ht="18">
      <c r="B19" s="19" t="s">
        <v>79</v>
      </c>
      <c r="C19" s="12"/>
      <c r="D19" s="12"/>
      <c r="E19" s="3">
        <f>SUMPRODUCT(E10:E17,E10:E17)</f>
        <v>2500</v>
      </c>
    </row>
    <row r="20" spans="2:12">
      <c r="I20" s="11" t="s">
        <v>12</v>
      </c>
      <c r="J20" s="12"/>
      <c r="K20" s="12"/>
      <c r="L20" s="12"/>
    </row>
    <row r="21" spans="2:12" ht="18">
      <c r="B21" s="19" t="s">
        <v>80</v>
      </c>
      <c r="C21" s="12"/>
      <c r="D21" s="12"/>
      <c r="E21" s="3">
        <f>$J$10*80+$J$11</f>
        <v>3300</v>
      </c>
      <c r="F21" s="8" t="s">
        <v>81</v>
      </c>
      <c r="I21" s="14" t="s">
        <v>82</v>
      </c>
      <c r="J21" s="12"/>
      <c r="K21" s="12"/>
      <c r="L21" s="12"/>
    </row>
    <row r="22" spans="2:12">
      <c r="I22" s="12"/>
      <c r="J22" s="12"/>
      <c r="K22" s="12"/>
      <c r="L22" s="12"/>
    </row>
    <row r="23" spans="2:12">
      <c r="I23" s="12"/>
      <c r="J23" s="12"/>
      <c r="K23" s="12"/>
      <c r="L23" s="12"/>
    </row>
    <row r="24" spans="2:12">
      <c r="I24" s="12"/>
      <c r="J24" s="12"/>
      <c r="K24" s="12"/>
      <c r="L24" s="12"/>
    </row>
    <row r="25" spans="2:12">
      <c r="I25" s="12"/>
      <c r="J25" s="12"/>
      <c r="K25" s="12"/>
      <c r="L25" s="12"/>
    </row>
    <row r="27" spans="2:12">
      <c r="I27" s="11" t="s">
        <v>16</v>
      </c>
      <c r="J27" s="12"/>
      <c r="K27" s="12"/>
      <c r="L27" s="12"/>
    </row>
    <row r="28" spans="2:12">
      <c r="I28" s="14" t="s">
        <v>83</v>
      </c>
      <c r="J28" s="12"/>
      <c r="K28" s="12"/>
      <c r="L28" s="12"/>
    </row>
    <row r="29" spans="2:12">
      <c r="I29" s="12"/>
      <c r="J29" s="12"/>
      <c r="K29" s="12"/>
      <c r="L29" s="12"/>
    </row>
    <row r="30" spans="2:12">
      <c r="I30" s="12"/>
      <c r="J30" s="12"/>
      <c r="K30" s="12"/>
      <c r="L30" s="12"/>
    </row>
    <row r="31" spans="2:12">
      <c r="I31" s="12"/>
      <c r="J31" s="12"/>
      <c r="K31" s="12"/>
      <c r="L31" s="12"/>
    </row>
  </sheetData>
  <mergeCells count="11">
    <mergeCell ref="B2:G2"/>
    <mergeCell ref="I14:L14"/>
    <mergeCell ref="B19:D19"/>
    <mergeCell ref="I28:L31"/>
    <mergeCell ref="I9:K9"/>
    <mergeCell ref="I21:L25"/>
    <mergeCell ref="I27:L27"/>
    <mergeCell ref="I20:L20"/>
    <mergeCell ref="B21:D21"/>
    <mergeCell ref="B4:G6"/>
    <mergeCell ref="I15:L18"/>
  </mergeCells>
  <phoneticPr fontId="8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32"/>
  <sheetViews>
    <sheetView showGridLines="0" workbookViewId="0"/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14" width="14" customWidth="1"/>
  </cols>
  <sheetData>
    <row r="1" spans="2:14" ht="12" customHeight="1"/>
    <row r="2" spans="2:14" ht="30" customHeight="1">
      <c r="B2" s="13" t="s">
        <v>84</v>
      </c>
      <c r="C2" s="12"/>
      <c r="D2" s="12"/>
      <c r="E2" s="12"/>
      <c r="F2" s="12"/>
      <c r="G2" s="12"/>
    </row>
    <row r="3" spans="2:14" ht="6" customHeight="1"/>
    <row r="4" spans="2:14" ht="22" customHeight="1">
      <c r="B4" s="16" t="s">
        <v>85</v>
      </c>
      <c r="C4" s="12"/>
      <c r="D4" s="12"/>
      <c r="E4" s="12"/>
      <c r="F4" s="12"/>
      <c r="G4" s="12"/>
    </row>
    <row r="5" spans="2:14" ht="22" customHeight="1">
      <c r="B5" s="12"/>
      <c r="C5" s="12"/>
      <c r="D5" s="12"/>
      <c r="E5" s="12"/>
      <c r="F5" s="12"/>
      <c r="G5" s="12"/>
    </row>
    <row r="6" spans="2:14" ht="22" customHeight="1">
      <c r="B6" s="12"/>
      <c r="C6" s="12"/>
      <c r="D6" s="12"/>
      <c r="E6" s="12"/>
      <c r="F6" s="12"/>
      <c r="G6" s="12"/>
    </row>
    <row r="8" spans="2:14">
      <c r="B8" s="20" t="s">
        <v>86</v>
      </c>
      <c r="C8" s="12"/>
      <c r="D8" s="12"/>
      <c r="E8" s="12"/>
      <c r="F8" s="12"/>
      <c r="G8" s="12"/>
    </row>
    <row r="10" spans="2:14" ht="22" customHeight="1">
      <c r="B10" s="21" t="s">
        <v>87</v>
      </c>
      <c r="C10" s="12"/>
      <c r="D10" s="12"/>
      <c r="E10" s="12"/>
      <c r="F10" s="12"/>
      <c r="G10" s="12"/>
    </row>
    <row r="11" spans="2:14" ht="22" customHeight="1">
      <c r="B11" s="12"/>
      <c r="C11" s="12"/>
      <c r="D11" s="12"/>
      <c r="E11" s="12"/>
      <c r="F11" s="12"/>
      <c r="G11" s="12"/>
    </row>
    <row r="12" spans="2:14" ht="22" customHeight="1">
      <c r="B12" s="12"/>
      <c r="C12" s="12"/>
      <c r="D12" s="12"/>
      <c r="E12" s="12"/>
      <c r="F12" s="12"/>
      <c r="G12" s="12"/>
    </row>
    <row r="14" spans="2:14" ht="18">
      <c r="B14" s="1" t="s">
        <v>55</v>
      </c>
      <c r="C14" s="1" t="s">
        <v>88</v>
      </c>
      <c r="D14" s="1" t="s">
        <v>4</v>
      </c>
      <c r="E14" s="1" t="s">
        <v>58</v>
      </c>
      <c r="I14" s="1" t="s">
        <v>89</v>
      </c>
      <c r="J14" s="1" t="s">
        <v>90</v>
      </c>
      <c r="L14" s="11" t="s">
        <v>8</v>
      </c>
      <c r="M14" s="12"/>
      <c r="N14" s="12"/>
    </row>
    <row r="15" spans="2:14" ht="17">
      <c r="B15" s="2">
        <v>15</v>
      </c>
      <c r="C15" s="2">
        <v>55</v>
      </c>
      <c r="D15" s="3">
        <f>$I$15*B15+$J$15</f>
        <v>55</v>
      </c>
      <c r="E15" s="3">
        <f>C15-D15</f>
        <v>0</v>
      </c>
      <c r="I15" s="3">
        <v>3</v>
      </c>
      <c r="J15" s="3">
        <v>10</v>
      </c>
      <c r="L15" s="14" t="s">
        <v>91</v>
      </c>
      <c r="M15" s="12"/>
      <c r="N15" s="12"/>
    </row>
    <row r="16" spans="2:14" ht="17">
      <c r="B16" s="2">
        <v>20</v>
      </c>
      <c r="C16" s="2">
        <v>70</v>
      </c>
      <c r="D16" s="4"/>
      <c r="E16" s="4"/>
      <c r="L16" s="12"/>
      <c r="M16" s="12"/>
      <c r="N16" s="12"/>
    </row>
    <row r="17" spans="2:14" ht="17">
      <c r="B17" s="2">
        <v>25</v>
      </c>
      <c r="C17" s="2">
        <v>85</v>
      </c>
      <c r="D17" s="4"/>
      <c r="E17" s="4"/>
      <c r="L17" s="12"/>
      <c r="M17" s="12"/>
      <c r="N17" s="12"/>
    </row>
    <row r="18" spans="2:14" ht="17">
      <c r="B18" s="2">
        <v>30</v>
      </c>
      <c r="C18" s="2">
        <v>100</v>
      </c>
      <c r="D18" s="4"/>
      <c r="E18" s="4"/>
      <c r="L18" s="12"/>
      <c r="M18" s="12"/>
      <c r="N18" s="12"/>
    </row>
    <row r="19" spans="2:14" ht="17">
      <c r="B19" s="2">
        <v>35</v>
      </c>
      <c r="C19" s="2">
        <v>115</v>
      </c>
      <c r="D19" s="4"/>
      <c r="E19" s="4"/>
    </row>
    <row r="20" spans="2:14" ht="17">
      <c r="B20" s="2">
        <v>40</v>
      </c>
      <c r="C20" s="2">
        <v>130</v>
      </c>
      <c r="D20" s="4"/>
      <c r="E20" s="4"/>
    </row>
    <row r="22" spans="2:14" ht="18">
      <c r="B22" s="19" t="s">
        <v>92</v>
      </c>
      <c r="C22" s="12"/>
      <c r="D22" s="3">
        <f>ABS(E15)+ABS(E16)+ABS(E17)+ABS(E18)+ABS(E19)+ABS(E20)</f>
        <v>0</v>
      </c>
    </row>
    <row r="25" spans="2:14">
      <c r="B25" s="20" t="s">
        <v>93</v>
      </c>
      <c r="C25" s="12"/>
      <c r="D25" s="12"/>
      <c r="E25" s="12"/>
      <c r="F25" s="12"/>
      <c r="G25" s="12"/>
    </row>
    <row r="26" spans="2:14">
      <c r="L26" s="11" t="s">
        <v>16</v>
      </c>
      <c r="M26" s="12"/>
      <c r="N26" s="12"/>
    </row>
    <row r="27" spans="2:14">
      <c r="B27" s="21" t="s">
        <v>94</v>
      </c>
      <c r="C27" s="12"/>
      <c r="D27" s="12"/>
      <c r="E27" s="12"/>
      <c r="F27" s="12"/>
      <c r="G27" s="12"/>
      <c r="L27" s="14" t="s">
        <v>95</v>
      </c>
      <c r="M27" s="12"/>
      <c r="N27" s="12"/>
    </row>
    <row r="28" spans="2:14">
      <c r="B28" s="12"/>
      <c r="C28" s="12"/>
      <c r="D28" s="12"/>
      <c r="E28" s="12"/>
      <c r="F28" s="12"/>
      <c r="G28" s="12"/>
      <c r="L28" s="12"/>
      <c r="M28" s="12"/>
      <c r="N28" s="12"/>
    </row>
    <row r="29" spans="2:14">
      <c r="L29" s="12"/>
      <c r="M29" s="12"/>
      <c r="N29" s="12"/>
    </row>
    <row r="30" spans="2:14" ht="17">
      <c r="B30" s="10" t="s">
        <v>75</v>
      </c>
      <c r="C30" s="3">
        <f>SLOPE(C15:C20,B15:B20)</f>
        <v>3</v>
      </c>
      <c r="L30" s="12"/>
      <c r="M30" s="12"/>
      <c r="N30" s="12"/>
    </row>
    <row r="31" spans="2:14" ht="17">
      <c r="B31" s="10" t="s">
        <v>76</v>
      </c>
      <c r="C31" s="3">
        <f>INTERCEPT(C15:C20,B15:B20)</f>
        <v>10</v>
      </c>
    </row>
    <row r="32" spans="2:14" ht="17">
      <c r="B32" s="10" t="s">
        <v>96</v>
      </c>
      <c r="C32" s="3">
        <f>RSQ(C15:C20,B15:B20)</f>
        <v>0.99999999999999956</v>
      </c>
    </row>
  </sheetData>
  <mergeCells count="11">
    <mergeCell ref="B2:G2"/>
    <mergeCell ref="L15:N18"/>
    <mergeCell ref="L14:N14"/>
    <mergeCell ref="L27:N30"/>
    <mergeCell ref="B8:G8"/>
    <mergeCell ref="B27:G28"/>
    <mergeCell ref="B22:C22"/>
    <mergeCell ref="B4:G6"/>
    <mergeCell ref="B10:G12"/>
    <mergeCell ref="L26:N26"/>
    <mergeCell ref="B25:G25"/>
  </mergeCells>
  <phoneticPr fontId="8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47"/>
  <sheetViews>
    <sheetView showGridLines="0" workbookViewId="0"/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14" width="14" customWidth="1"/>
  </cols>
  <sheetData>
    <row r="1" spans="2:12" ht="12" customHeight="1"/>
    <row r="2" spans="2:12" ht="30" customHeight="1">
      <c r="B2" s="13" t="s">
        <v>97</v>
      </c>
      <c r="C2" s="12"/>
      <c r="D2" s="12"/>
      <c r="E2" s="12"/>
      <c r="F2" s="12"/>
      <c r="G2" s="12"/>
    </row>
    <row r="3" spans="2:12" ht="6" customHeight="1"/>
    <row r="4" spans="2:12" ht="22" customHeight="1">
      <c r="B4" s="16" t="s">
        <v>98</v>
      </c>
      <c r="C4" s="12"/>
      <c r="D4" s="12"/>
      <c r="E4" s="12"/>
      <c r="F4" s="12"/>
      <c r="G4" s="12"/>
    </row>
    <row r="5" spans="2:12" ht="22" customHeight="1">
      <c r="B5" s="12"/>
      <c r="C5" s="12"/>
      <c r="D5" s="12"/>
      <c r="E5" s="12"/>
      <c r="F5" s="12"/>
      <c r="G5" s="12"/>
    </row>
    <row r="6" spans="2:12" ht="22" customHeight="1">
      <c r="B6" s="12"/>
      <c r="C6" s="12"/>
      <c r="D6" s="12"/>
      <c r="E6" s="12"/>
      <c r="F6" s="12"/>
      <c r="G6" s="12"/>
    </row>
    <row r="8" spans="2:12">
      <c r="B8" s="20" t="s">
        <v>99</v>
      </c>
      <c r="C8" s="12"/>
      <c r="D8" s="12"/>
      <c r="E8" s="12"/>
      <c r="F8" s="12"/>
      <c r="G8" s="12"/>
    </row>
    <row r="10" spans="2:12">
      <c r="B10" s="21" t="s">
        <v>100</v>
      </c>
      <c r="C10" s="12"/>
      <c r="D10" s="12"/>
      <c r="E10" s="12"/>
      <c r="F10" s="12"/>
      <c r="G10" s="12"/>
    </row>
    <row r="11" spans="2:12">
      <c r="B11" s="12"/>
      <c r="C11" s="12"/>
      <c r="D11" s="12"/>
      <c r="E11" s="12"/>
      <c r="F11" s="12"/>
      <c r="G11" s="12"/>
    </row>
    <row r="12" spans="2:12">
      <c r="B12" s="12"/>
      <c r="C12" s="12"/>
      <c r="D12" s="12"/>
      <c r="E12" s="12"/>
      <c r="F12" s="12"/>
      <c r="G12" s="12"/>
    </row>
    <row r="14" spans="2:12" ht="18">
      <c r="B14" s="1" t="s">
        <v>101</v>
      </c>
      <c r="C14" s="1" t="s">
        <v>102</v>
      </c>
      <c r="I14" s="11" t="s">
        <v>8</v>
      </c>
      <c r="J14" s="12"/>
      <c r="K14" s="12"/>
      <c r="L14" s="12"/>
    </row>
    <row r="15" spans="2:12" ht="17">
      <c r="B15" s="2">
        <v>0</v>
      </c>
      <c r="C15" s="3">
        <f>0.05*B15^2+0.2*B15</f>
        <v>0</v>
      </c>
      <c r="I15" s="14" t="s">
        <v>103</v>
      </c>
      <c r="J15" s="12"/>
      <c r="K15" s="12"/>
      <c r="L15" s="12"/>
    </row>
    <row r="16" spans="2:12" ht="17">
      <c r="B16" s="2">
        <v>10</v>
      </c>
      <c r="C16" s="4"/>
      <c r="I16" s="12"/>
      <c r="J16" s="12"/>
      <c r="K16" s="12"/>
      <c r="L16" s="12"/>
    </row>
    <row r="17" spans="2:12" ht="17">
      <c r="B17" s="2">
        <v>20</v>
      </c>
      <c r="C17" s="4"/>
      <c r="I17" s="12"/>
      <c r="J17" s="12"/>
      <c r="K17" s="12"/>
      <c r="L17" s="12"/>
    </row>
    <row r="18" spans="2:12" ht="17">
      <c r="B18" s="2">
        <v>30</v>
      </c>
      <c r="C18" s="4"/>
      <c r="I18" s="12"/>
      <c r="J18" s="12"/>
      <c r="K18" s="12"/>
      <c r="L18" s="12"/>
    </row>
    <row r="19" spans="2:12" ht="17">
      <c r="B19" s="2">
        <v>40</v>
      </c>
      <c r="C19" s="4"/>
      <c r="I19" s="12"/>
      <c r="J19" s="12"/>
      <c r="K19" s="12"/>
      <c r="L19" s="12"/>
    </row>
    <row r="20" spans="2:12" ht="17">
      <c r="B20" s="2">
        <v>50</v>
      </c>
      <c r="C20" s="4"/>
    </row>
    <row r="21" spans="2:12" ht="17">
      <c r="B21" s="2">
        <v>60</v>
      </c>
      <c r="C21" s="4"/>
      <c r="I21" s="11" t="s">
        <v>16</v>
      </c>
      <c r="J21" s="12"/>
      <c r="K21" s="12"/>
      <c r="L21" s="12"/>
    </row>
    <row r="22" spans="2:12" ht="17">
      <c r="B22" s="2">
        <v>70</v>
      </c>
      <c r="C22" s="4"/>
      <c r="I22" s="14" t="s">
        <v>104</v>
      </c>
      <c r="J22" s="12"/>
      <c r="K22" s="12"/>
      <c r="L22" s="12"/>
    </row>
    <row r="23" spans="2:12" ht="17">
      <c r="B23" s="2">
        <v>80</v>
      </c>
      <c r="C23" s="4"/>
      <c r="I23" s="12"/>
      <c r="J23" s="12"/>
      <c r="K23" s="12"/>
      <c r="L23" s="12"/>
    </row>
    <row r="24" spans="2:12" ht="17">
      <c r="B24" s="2">
        <v>90</v>
      </c>
      <c r="C24" s="4"/>
      <c r="I24" s="12"/>
      <c r="J24" s="12"/>
      <c r="K24" s="12"/>
      <c r="L24" s="12"/>
    </row>
    <row r="25" spans="2:12" ht="17">
      <c r="B25" s="2">
        <v>100</v>
      </c>
      <c r="C25" s="4"/>
      <c r="I25" s="12"/>
      <c r="J25" s="12"/>
      <c r="K25" s="12"/>
      <c r="L25" s="12"/>
    </row>
    <row r="26" spans="2:12" ht="18">
      <c r="B26" s="7" t="s">
        <v>105</v>
      </c>
      <c r="C26" s="3">
        <f>0.05*60^2+0.2*60</f>
        <v>192</v>
      </c>
      <c r="D26" s="8" t="s">
        <v>41</v>
      </c>
      <c r="I26" s="12"/>
      <c r="J26" s="12"/>
      <c r="K26" s="12"/>
      <c r="L26" s="12"/>
    </row>
    <row r="29" spans="2:12">
      <c r="B29" s="20" t="s">
        <v>106</v>
      </c>
      <c r="C29" s="12"/>
      <c r="D29" s="12"/>
      <c r="E29" s="12"/>
      <c r="F29" s="12"/>
      <c r="G29" s="12"/>
    </row>
    <row r="31" spans="2:12">
      <c r="B31" s="21" t="s">
        <v>107</v>
      </c>
      <c r="C31" s="12"/>
      <c r="D31" s="12"/>
      <c r="E31" s="12"/>
      <c r="F31" s="12"/>
      <c r="G31" s="12"/>
    </row>
    <row r="32" spans="2:12">
      <c r="B32" s="12"/>
      <c r="C32" s="12"/>
      <c r="D32" s="12"/>
      <c r="E32" s="12"/>
      <c r="F32" s="12"/>
      <c r="G32" s="12"/>
    </row>
    <row r="34" spans="2:12" ht="18">
      <c r="B34" s="1" t="s">
        <v>108</v>
      </c>
      <c r="C34" s="1" t="s">
        <v>109</v>
      </c>
      <c r="D34" s="1" t="s">
        <v>110</v>
      </c>
      <c r="E34" s="1" t="s">
        <v>111</v>
      </c>
      <c r="I34" s="11" t="s">
        <v>8</v>
      </c>
      <c r="J34" s="12"/>
      <c r="K34" s="12"/>
      <c r="L34" s="12"/>
    </row>
    <row r="35" spans="2:12" ht="17">
      <c r="B35" s="2">
        <v>0</v>
      </c>
      <c r="C35" s="3">
        <f>200*B35+15000</f>
        <v>15000</v>
      </c>
      <c r="D35" s="3">
        <f>500*B35</f>
        <v>0</v>
      </c>
      <c r="E35" s="3">
        <f>D35-C35</f>
        <v>-15000</v>
      </c>
      <c r="I35" s="14" t="s">
        <v>112</v>
      </c>
      <c r="J35" s="12"/>
      <c r="K35" s="12"/>
      <c r="L35" s="12"/>
    </row>
    <row r="36" spans="2:12" ht="17">
      <c r="B36" s="2">
        <v>10</v>
      </c>
      <c r="C36" s="4"/>
      <c r="D36" s="4"/>
      <c r="E36" s="4"/>
      <c r="I36" s="12"/>
      <c r="J36" s="12"/>
      <c r="K36" s="12"/>
      <c r="L36" s="12"/>
    </row>
    <row r="37" spans="2:12" ht="17">
      <c r="B37" s="2">
        <v>20</v>
      </c>
      <c r="C37" s="4"/>
      <c r="D37" s="4"/>
      <c r="E37" s="4"/>
      <c r="I37" s="12"/>
      <c r="J37" s="12"/>
      <c r="K37" s="12"/>
      <c r="L37" s="12"/>
    </row>
    <row r="38" spans="2:12" ht="17">
      <c r="B38" s="2">
        <v>30</v>
      </c>
      <c r="C38" s="4"/>
      <c r="D38" s="4"/>
      <c r="E38" s="4"/>
      <c r="I38" s="12"/>
      <c r="J38" s="12"/>
      <c r="K38" s="12"/>
      <c r="L38" s="12"/>
    </row>
    <row r="39" spans="2:12" ht="17">
      <c r="B39" s="2">
        <v>40</v>
      </c>
      <c r="C39" s="4"/>
      <c r="D39" s="4"/>
      <c r="E39" s="4"/>
      <c r="I39" s="12"/>
      <c r="J39" s="12"/>
      <c r="K39" s="12"/>
      <c r="L39" s="12"/>
    </row>
    <row r="40" spans="2:12" ht="17">
      <c r="B40" s="2">
        <v>50</v>
      </c>
      <c r="C40" s="4"/>
      <c r="D40" s="4"/>
      <c r="E40" s="4"/>
    </row>
    <row r="41" spans="2:12" ht="17">
      <c r="B41" s="2">
        <v>60</v>
      </c>
      <c r="C41" s="4"/>
      <c r="D41" s="4"/>
      <c r="E41" s="4"/>
      <c r="I41" s="11" t="s">
        <v>16</v>
      </c>
      <c r="J41" s="12"/>
      <c r="K41" s="12"/>
      <c r="L41" s="12"/>
    </row>
    <row r="42" spans="2:12" ht="17">
      <c r="B42" s="2">
        <v>70</v>
      </c>
      <c r="C42" s="4"/>
      <c r="D42" s="4"/>
      <c r="E42" s="4"/>
      <c r="I42" s="14" t="s">
        <v>113</v>
      </c>
      <c r="J42" s="12"/>
      <c r="K42" s="12"/>
      <c r="L42" s="12"/>
    </row>
    <row r="43" spans="2:12" ht="17">
      <c r="B43" s="2">
        <v>80</v>
      </c>
      <c r="C43" s="4"/>
      <c r="D43" s="4"/>
      <c r="E43" s="4"/>
      <c r="I43" s="12"/>
      <c r="J43" s="12"/>
      <c r="K43" s="12"/>
      <c r="L43" s="12"/>
    </row>
    <row r="44" spans="2:12" ht="17">
      <c r="B44" s="2">
        <v>90</v>
      </c>
      <c r="C44" s="4"/>
      <c r="D44" s="4"/>
      <c r="E44" s="4"/>
      <c r="I44" s="12"/>
      <c r="J44" s="12"/>
      <c r="K44" s="12"/>
      <c r="L44" s="12"/>
    </row>
    <row r="45" spans="2:12" ht="17">
      <c r="B45" s="2">
        <v>100</v>
      </c>
      <c r="C45" s="4"/>
      <c r="D45" s="4"/>
      <c r="E45" s="4"/>
      <c r="I45" s="12"/>
      <c r="J45" s="12"/>
      <c r="K45" s="12"/>
      <c r="L45" s="12"/>
    </row>
    <row r="46" spans="2:12">
      <c r="I46" s="12"/>
      <c r="J46" s="12"/>
      <c r="K46" s="12"/>
      <c r="L46" s="12"/>
    </row>
    <row r="47" spans="2:12" ht="18">
      <c r="B47" s="7" t="s">
        <v>114</v>
      </c>
      <c r="C47" s="3">
        <f>15000/(500-200)</f>
        <v>50</v>
      </c>
      <c r="D47" s="8" t="s">
        <v>115</v>
      </c>
    </row>
  </sheetData>
  <mergeCells count="14">
    <mergeCell ref="I41:L41"/>
    <mergeCell ref="I42:L46"/>
    <mergeCell ref="B29:G29"/>
    <mergeCell ref="I22:L26"/>
    <mergeCell ref="B2:G2"/>
    <mergeCell ref="I14:L14"/>
    <mergeCell ref="I35:L39"/>
    <mergeCell ref="I21:L21"/>
    <mergeCell ref="I34:L34"/>
    <mergeCell ref="B31:G32"/>
    <mergeCell ref="B8:G8"/>
    <mergeCell ref="I15:L19"/>
    <mergeCell ref="B4:G6"/>
    <mergeCell ref="B10:G12"/>
  </mergeCells>
  <phoneticPr fontId="8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M34"/>
  <sheetViews>
    <sheetView showGridLines="0" workbookViewId="0"/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14" width="14" customWidth="1"/>
  </cols>
  <sheetData>
    <row r="1" spans="2:13" ht="12" customHeight="1"/>
    <row r="2" spans="2:13" ht="30" customHeight="1">
      <c r="B2" s="13" t="s">
        <v>116</v>
      </c>
      <c r="C2" s="12"/>
      <c r="D2" s="12"/>
      <c r="E2" s="12"/>
      <c r="F2" s="12"/>
      <c r="G2" s="12"/>
    </row>
    <row r="3" spans="2:13" ht="6" customHeight="1"/>
    <row r="4" spans="2:13" ht="22" customHeight="1">
      <c r="B4" s="16" t="s">
        <v>117</v>
      </c>
      <c r="C4" s="12"/>
      <c r="D4" s="12"/>
      <c r="E4" s="12"/>
      <c r="F4" s="12"/>
      <c r="G4" s="12"/>
    </row>
    <row r="5" spans="2:13" ht="22" customHeight="1">
      <c r="B5" s="12"/>
      <c r="C5" s="12"/>
      <c r="D5" s="12"/>
      <c r="E5" s="12"/>
      <c r="F5" s="12"/>
      <c r="G5" s="12"/>
    </row>
    <row r="6" spans="2:13" ht="22" customHeight="1">
      <c r="B6" s="12"/>
      <c r="C6" s="12"/>
      <c r="D6" s="12"/>
      <c r="E6" s="12"/>
      <c r="F6" s="12"/>
      <c r="G6" s="12"/>
    </row>
    <row r="9" spans="2:13" ht="18">
      <c r="B9" s="1" t="s">
        <v>118</v>
      </c>
      <c r="C9" s="1" t="s">
        <v>119</v>
      </c>
      <c r="D9" s="1" t="s">
        <v>120</v>
      </c>
      <c r="I9" s="11" t="s">
        <v>8</v>
      </c>
      <c r="J9" s="12"/>
      <c r="K9" s="12"/>
      <c r="L9" s="12"/>
      <c r="M9" s="12"/>
    </row>
    <row r="10" spans="2:13" ht="17">
      <c r="B10" s="2">
        <v>0</v>
      </c>
      <c r="C10" s="3">
        <f>10*B10-0.05*B10^2</f>
        <v>0</v>
      </c>
      <c r="D10" s="3">
        <f>C10-B10</f>
        <v>0</v>
      </c>
      <c r="I10" s="14" t="s">
        <v>121</v>
      </c>
      <c r="J10" s="12"/>
      <c r="K10" s="12"/>
      <c r="L10" s="12"/>
      <c r="M10" s="12"/>
    </row>
    <row r="11" spans="2:13" ht="17">
      <c r="B11" s="2">
        <v>5</v>
      </c>
      <c r="C11" s="4"/>
      <c r="D11" s="4"/>
      <c r="I11" s="12"/>
      <c r="J11" s="12"/>
      <c r="K11" s="12"/>
      <c r="L11" s="12"/>
      <c r="M11" s="12"/>
    </row>
    <row r="12" spans="2:13" ht="17">
      <c r="B12" s="2">
        <v>10</v>
      </c>
      <c r="C12" s="4"/>
      <c r="D12" s="4"/>
      <c r="I12" s="12"/>
      <c r="J12" s="12"/>
      <c r="K12" s="12"/>
      <c r="L12" s="12"/>
      <c r="M12" s="12"/>
    </row>
    <row r="13" spans="2:13" ht="17">
      <c r="B13" s="2">
        <v>15</v>
      </c>
      <c r="C13" s="4"/>
      <c r="D13" s="4"/>
      <c r="I13" s="12"/>
      <c r="J13" s="12"/>
      <c r="K13" s="12"/>
      <c r="L13" s="12"/>
      <c r="M13" s="12"/>
    </row>
    <row r="14" spans="2:13" ht="17">
      <c r="B14" s="2">
        <v>20</v>
      </c>
      <c r="C14" s="4"/>
      <c r="D14" s="4"/>
      <c r="I14" s="12"/>
      <c r="J14" s="12"/>
      <c r="K14" s="12"/>
      <c r="L14" s="12"/>
      <c r="M14" s="12"/>
    </row>
    <row r="15" spans="2:13" ht="17">
      <c r="B15" s="2">
        <v>25</v>
      </c>
      <c r="C15" s="4"/>
      <c r="D15" s="4"/>
    </row>
    <row r="16" spans="2:13" ht="17">
      <c r="B16" s="2">
        <v>30</v>
      </c>
      <c r="C16" s="4"/>
      <c r="D16" s="4"/>
      <c r="I16" s="11" t="s">
        <v>16</v>
      </c>
      <c r="J16" s="12"/>
      <c r="K16" s="12"/>
      <c r="L16" s="12"/>
      <c r="M16" s="12"/>
    </row>
    <row r="17" spans="2:13" ht="17">
      <c r="B17" s="2">
        <v>35</v>
      </c>
      <c r="C17" s="4"/>
      <c r="D17" s="4"/>
      <c r="I17" s="14" t="s">
        <v>122</v>
      </c>
      <c r="J17" s="12"/>
      <c r="K17" s="12"/>
      <c r="L17" s="12"/>
      <c r="M17" s="12"/>
    </row>
    <row r="18" spans="2:13" ht="17">
      <c r="B18" s="2">
        <v>40</v>
      </c>
      <c r="C18" s="4"/>
      <c r="D18" s="4"/>
      <c r="I18" s="12"/>
      <c r="J18" s="12"/>
      <c r="K18" s="12"/>
      <c r="L18" s="12"/>
      <c r="M18" s="12"/>
    </row>
    <row r="19" spans="2:13" ht="17">
      <c r="B19" s="2">
        <v>45</v>
      </c>
      <c r="C19" s="4"/>
      <c r="D19" s="4"/>
      <c r="I19" s="12"/>
      <c r="J19" s="12"/>
      <c r="K19" s="12"/>
      <c r="L19" s="12"/>
      <c r="M19" s="12"/>
    </row>
    <row r="20" spans="2:13" ht="17">
      <c r="B20" s="2">
        <v>50</v>
      </c>
      <c r="C20" s="4"/>
      <c r="D20" s="4"/>
      <c r="I20" s="12"/>
      <c r="J20" s="12"/>
      <c r="K20" s="12"/>
      <c r="L20" s="12"/>
      <c r="M20" s="12"/>
    </row>
    <row r="21" spans="2:13" ht="17">
      <c r="B21" s="2">
        <v>55</v>
      </c>
      <c r="C21" s="4"/>
      <c r="D21" s="4"/>
      <c r="I21" s="12"/>
      <c r="J21" s="12"/>
      <c r="K21" s="12"/>
      <c r="L21" s="12"/>
      <c r="M21" s="12"/>
    </row>
    <row r="22" spans="2:13" ht="17">
      <c r="B22" s="2">
        <v>60</v>
      </c>
      <c r="C22" s="4"/>
      <c r="D22" s="4"/>
      <c r="I22" s="12"/>
      <c r="J22" s="12"/>
      <c r="K22" s="12"/>
      <c r="L22" s="12"/>
      <c r="M22" s="12"/>
    </row>
    <row r="23" spans="2:13" ht="17">
      <c r="B23" s="2">
        <v>65</v>
      </c>
      <c r="C23" s="4"/>
      <c r="D23" s="4"/>
    </row>
    <row r="24" spans="2:13" ht="17">
      <c r="B24" s="2">
        <v>70</v>
      </c>
      <c r="C24" s="4"/>
      <c r="D24" s="4"/>
    </row>
    <row r="25" spans="2:13" ht="17">
      <c r="B25" s="2">
        <v>75</v>
      </c>
      <c r="C25" s="4"/>
      <c r="D25" s="4"/>
    </row>
    <row r="26" spans="2:13" ht="17">
      <c r="B26" s="2">
        <v>80</v>
      </c>
      <c r="C26" s="4"/>
      <c r="D26" s="4"/>
    </row>
    <row r="27" spans="2:13" ht="17">
      <c r="B27" s="2">
        <v>85</v>
      </c>
      <c r="C27" s="4"/>
      <c r="D27" s="4"/>
    </row>
    <row r="28" spans="2:13" ht="17">
      <c r="B28" s="2">
        <v>90</v>
      </c>
      <c r="C28" s="4"/>
      <c r="D28" s="4"/>
    </row>
    <row r="29" spans="2:13" ht="17">
      <c r="B29" s="2">
        <v>95</v>
      </c>
      <c r="C29" s="4"/>
      <c r="D29" s="4"/>
    </row>
    <row r="30" spans="2:13" ht="17">
      <c r="B30" s="2">
        <v>100</v>
      </c>
      <c r="C30" s="4"/>
      <c r="D30" s="4"/>
    </row>
    <row r="33" spans="2:4" ht="18">
      <c r="B33" s="7" t="s">
        <v>123</v>
      </c>
      <c r="C33" s="3">
        <f>MAX(D10:D30)</f>
        <v>0</v>
      </c>
      <c r="D33" s="8" t="s">
        <v>81</v>
      </c>
    </row>
    <row r="34" spans="2:4" ht="18">
      <c r="B34" s="7" t="s">
        <v>124</v>
      </c>
      <c r="C34" s="3">
        <f>INDEX(B10:B30,MATCH(MAX(D10:D30),D10:D30,0))</f>
        <v>0</v>
      </c>
      <c r="D34" s="8" t="s">
        <v>81</v>
      </c>
    </row>
  </sheetData>
  <mergeCells count="6">
    <mergeCell ref="I17:M22"/>
    <mergeCell ref="I9:M9"/>
    <mergeCell ref="B2:G2"/>
    <mergeCell ref="I16:M16"/>
    <mergeCell ref="B4:G6"/>
    <mergeCell ref="I10:M14"/>
  </mergeCells>
  <phoneticPr fontId="8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41"/>
  <sheetViews>
    <sheetView showGridLines="0" workbookViewId="0"/>
  </sheetViews>
  <sheetFormatPr baseColWidth="10" defaultColWidth="8.83203125" defaultRowHeight="14"/>
  <cols>
    <col min="1" max="1" width="2" customWidth="1"/>
    <col min="2" max="7" width="14" customWidth="1"/>
    <col min="8" max="8" width="4" customWidth="1"/>
    <col min="9" max="14" width="14" customWidth="1"/>
  </cols>
  <sheetData>
    <row r="1" spans="2:14" ht="12" customHeight="1"/>
    <row r="2" spans="2:14" ht="30" customHeight="1">
      <c r="B2" s="13" t="s">
        <v>125</v>
      </c>
      <c r="C2" s="12"/>
      <c r="D2" s="12"/>
      <c r="E2" s="12"/>
      <c r="F2" s="12"/>
      <c r="G2" s="12"/>
    </row>
    <row r="3" spans="2:14" ht="6" customHeight="1"/>
    <row r="4" spans="2:14" ht="22" customHeight="1">
      <c r="B4" s="16" t="s">
        <v>126</v>
      </c>
      <c r="C4" s="12"/>
      <c r="D4" s="12"/>
      <c r="E4" s="12"/>
      <c r="F4" s="12"/>
      <c r="G4" s="12"/>
    </row>
    <row r="5" spans="2:14" ht="22" customHeight="1">
      <c r="B5" s="12"/>
      <c r="C5" s="12"/>
      <c r="D5" s="12"/>
      <c r="E5" s="12"/>
      <c r="F5" s="12"/>
      <c r="G5" s="12"/>
    </row>
    <row r="6" spans="2:14" ht="22" customHeight="1">
      <c r="B6" s="12"/>
      <c r="C6" s="12"/>
      <c r="D6" s="12"/>
      <c r="E6" s="12"/>
      <c r="F6" s="12"/>
      <c r="G6" s="12"/>
    </row>
    <row r="9" spans="2:14" ht="18">
      <c r="B9" s="1" t="s">
        <v>127</v>
      </c>
      <c r="C9" s="1" t="s">
        <v>128</v>
      </c>
      <c r="D9" s="1" t="s">
        <v>129</v>
      </c>
      <c r="E9" s="1" t="s">
        <v>130</v>
      </c>
      <c r="F9" s="1" t="s">
        <v>58</v>
      </c>
      <c r="I9" s="19" t="s">
        <v>131</v>
      </c>
      <c r="J9" s="12"/>
      <c r="K9" s="12"/>
    </row>
    <row r="10" spans="2:14" ht="17">
      <c r="B10" s="2" t="s">
        <v>132</v>
      </c>
      <c r="C10" s="2">
        <v>5</v>
      </c>
      <c r="D10" s="2">
        <v>1950</v>
      </c>
      <c r="E10" s="3">
        <f>$J$10*C10+$J$11</f>
        <v>1950</v>
      </c>
      <c r="F10" s="3">
        <f>D10-E10</f>
        <v>0</v>
      </c>
      <c r="I10" s="10" t="s">
        <v>75</v>
      </c>
      <c r="J10" s="3">
        <f>SLOPE(D10:D21,C10:C21)</f>
        <v>30</v>
      </c>
      <c r="L10" s="11" t="s">
        <v>8</v>
      </c>
      <c r="M10" s="12"/>
      <c r="N10" s="12"/>
    </row>
    <row r="11" spans="2:14" ht="17">
      <c r="B11" s="2" t="s">
        <v>133</v>
      </c>
      <c r="C11" s="2">
        <v>6</v>
      </c>
      <c r="D11" s="2">
        <v>1980</v>
      </c>
      <c r="E11" s="4"/>
      <c r="F11" s="4"/>
      <c r="I11" s="10" t="s">
        <v>76</v>
      </c>
      <c r="J11" s="3">
        <f>INTERCEPT(D10:D21,C10:C21)</f>
        <v>1800</v>
      </c>
      <c r="L11" s="14" t="s">
        <v>134</v>
      </c>
      <c r="M11" s="12"/>
      <c r="N11" s="12"/>
    </row>
    <row r="12" spans="2:14" ht="17">
      <c r="B12" s="2" t="s">
        <v>135</v>
      </c>
      <c r="C12" s="2">
        <v>10</v>
      </c>
      <c r="D12" s="2">
        <v>2100</v>
      </c>
      <c r="E12" s="4"/>
      <c r="F12" s="4"/>
      <c r="I12" s="10" t="s">
        <v>96</v>
      </c>
      <c r="J12" s="3">
        <f>RSQ(D10:D21,C10:C21)</f>
        <v>1</v>
      </c>
      <c r="L12" s="12"/>
      <c r="M12" s="12"/>
      <c r="N12" s="12"/>
    </row>
    <row r="13" spans="2:14" ht="17">
      <c r="B13" s="2" t="s">
        <v>136</v>
      </c>
      <c r="C13" s="2">
        <v>15</v>
      </c>
      <c r="D13" s="2">
        <v>2250</v>
      </c>
      <c r="E13" s="4"/>
      <c r="F13" s="4"/>
      <c r="L13" s="12"/>
      <c r="M13" s="12"/>
      <c r="N13" s="12"/>
    </row>
    <row r="14" spans="2:14" ht="17">
      <c r="B14" s="2" t="s">
        <v>137</v>
      </c>
      <c r="C14" s="2">
        <v>20</v>
      </c>
      <c r="D14" s="2">
        <v>2400</v>
      </c>
      <c r="E14" s="4"/>
      <c r="F14" s="4"/>
      <c r="L14" s="12"/>
      <c r="M14" s="12"/>
      <c r="N14" s="12"/>
    </row>
    <row r="15" spans="2:14" ht="17">
      <c r="B15" s="2" t="s">
        <v>138</v>
      </c>
      <c r="C15" s="2">
        <v>24</v>
      </c>
      <c r="D15" s="2">
        <v>2520</v>
      </c>
      <c r="E15" s="4"/>
      <c r="F15" s="4"/>
      <c r="L15" s="12"/>
      <c r="M15" s="12"/>
      <c r="N15" s="12"/>
    </row>
    <row r="16" spans="2:14" ht="17">
      <c r="B16" s="2" t="s">
        <v>139</v>
      </c>
      <c r="C16" s="2">
        <v>27</v>
      </c>
      <c r="D16" s="2">
        <v>2610</v>
      </c>
      <c r="E16" s="4"/>
      <c r="F16" s="4"/>
    </row>
    <row r="17" spans="2:14" ht="17">
      <c r="B17" s="2" t="s">
        <v>140</v>
      </c>
      <c r="C17" s="2">
        <v>29</v>
      </c>
      <c r="D17" s="2">
        <v>2670</v>
      </c>
      <c r="E17" s="4"/>
      <c r="F17" s="4"/>
      <c r="L17" s="11" t="s">
        <v>12</v>
      </c>
      <c r="M17" s="12"/>
      <c r="N17" s="12"/>
    </row>
    <row r="18" spans="2:14" ht="17">
      <c r="B18" s="2" t="s">
        <v>141</v>
      </c>
      <c r="C18" s="2">
        <v>25</v>
      </c>
      <c r="D18" s="2">
        <v>2550</v>
      </c>
      <c r="E18" s="4"/>
      <c r="F18" s="4"/>
      <c r="L18" s="14" t="s">
        <v>142</v>
      </c>
      <c r="M18" s="12"/>
      <c r="N18" s="12"/>
    </row>
    <row r="19" spans="2:14" ht="17">
      <c r="B19" s="2" t="s">
        <v>143</v>
      </c>
      <c r="C19" s="2">
        <v>18</v>
      </c>
      <c r="D19" s="2">
        <v>2340</v>
      </c>
      <c r="E19" s="4"/>
      <c r="F19" s="4"/>
      <c r="L19" s="12"/>
      <c r="M19" s="12"/>
      <c r="N19" s="12"/>
    </row>
    <row r="20" spans="2:14" ht="17">
      <c r="B20" s="2" t="s">
        <v>144</v>
      </c>
      <c r="C20" s="2">
        <v>7</v>
      </c>
      <c r="D20" s="2">
        <v>2010</v>
      </c>
      <c r="E20" s="4"/>
      <c r="F20" s="4"/>
      <c r="L20" s="12"/>
      <c r="M20" s="12"/>
      <c r="N20" s="12"/>
    </row>
    <row r="21" spans="2:14" ht="17">
      <c r="B21" s="2" t="s">
        <v>145</v>
      </c>
      <c r="C21" s="2">
        <v>6</v>
      </c>
      <c r="D21" s="2">
        <v>1980</v>
      </c>
      <c r="E21" s="4"/>
      <c r="F21" s="4"/>
      <c r="L21" s="12"/>
      <c r="M21" s="12"/>
      <c r="N21" s="12"/>
    </row>
    <row r="22" spans="2:14">
      <c r="L22" s="12"/>
      <c r="M22" s="12"/>
      <c r="N22" s="12"/>
    </row>
    <row r="23" spans="2:14">
      <c r="B23" s="20" t="s">
        <v>146</v>
      </c>
      <c r="C23" s="12"/>
      <c r="D23" s="12"/>
      <c r="E23" s="12"/>
      <c r="F23" s="12"/>
      <c r="G23" s="12"/>
    </row>
    <row r="25" spans="2:14">
      <c r="B25" s="22" t="s">
        <v>147</v>
      </c>
      <c r="C25" s="12"/>
      <c r="D25" s="12"/>
      <c r="E25" s="12"/>
      <c r="F25" s="12"/>
      <c r="L25" s="11" t="s">
        <v>16</v>
      </c>
      <c r="M25" s="12"/>
      <c r="N25" s="12"/>
    </row>
    <row r="26" spans="2:14">
      <c r="L26" s="14" t="s">
        <v>148</v>
      </c>
      <c r="M26" s="12"/>
      <c r="N26" s="12"/>
    </row>
    <row r="27" spans="2:14" ht="18">
      <c r="B27" s="1" t="s">
        <v>127</v>
      </c>
      <c r="C27" s="1" t="s">
        <v>149</v>
      </c>
      <c r="D27" s="1" t="s">
        <v>150</v>
      </c>
      <c r="L27" s="12"/>
      <c r="M27" s="12"/>
      <c r="N27" s="12"/>
    </row>
    <row r="28" spans="2:14" ht="17">
      <c r="B28" s="2" t="s">
        <v>132</v>
      </c>
      <c r="C28" s="3">
        <v>4</v>
      </c>
      <c r="D28" s="3">
        <f>$J$10*C28+$J$11</f>
        <v>1920</v>
      </c>
      <c r="L28" s="12"/>
      <c r="M28" s="12"/>
      <c r="N28" s="12"/>
    </row>
    <row r="29" spans="2:14" ht="17">
      <c r="B29" s="2" t="s">
        <v>133</v>
      </c>
      <c r="C29" s="3">
        <v>5</v>
      </c>
      <c r="D29" s="4"/>
      <c r="L29" s="12"/>
      <c r="M29" s="12"/>
      <c r="N29" s="12"/>
    </row>
    <row r="30" spans="2:14" ht="17">
      <c r="B30" s="2" t="s">
        <v>135</v>
      </c>
      <c r="C30" s="3">
        <v>11</v>
      </c>
      <c r="D30" s="4"/>
      <c r="L30" s="12"/>
      <c r="M30" s="12"/>
      <c r="N30" s="12"/>
    </row>
    <row r="31" spans="2:14" ht="17">
      <c r="B31" s="2" t="s">
        <v>136</v>
      </c>
      <c r="C31" s="3">
        <v>17</v>
      </c>
      <c r="D31" s="4"/>
      <c r="L31" s="12"/>
      <c r="M31" s="12"/>
      <c r="N31" s="12"/>
    </row>
    <row r="32" spans="2:14" ht="17">
      <c r="B32" s="2" t="s">
        <v>137</v>
      </c>
      <c r="C32" s="3">
        <v>22</v>
      </c>
      <c r="D32" s="4"/>
      <c r="L32" s="12"/>
      <c r="M32" s="12"/>
      <c r="N32" s="12"/>
    </row>
    <row r="33" spans="2:5" ht="17">
      <c r="B33" s="2" t="s">
        <v>138</v>
      </c>
      <c r="C33" s="3">
        <v>26</v>
      </c>
      <c r="D33" s="4"/>
    </row>
    <row r="34" spans="2:5" ht="17">
      <c r="B34" s="2" t="s">
        <v>139</v>
      </c>
      <c r="C34" s="3">
        <v>30</v>
      </c>
      <c r="D34" s="4"/>
    </row>
    <row r="35" spans="2:5" ht="17">
      <c r="B35" s="2" t="s">
        <v>140</v>
      </c>
      <c r="C35" s="3">
        <v>32</v>
      </c>
      <c r="D35" s="4"/>
    </row>
    <row r="36" spans="2:5" ht="17">
      <c r="B36" s="2" t="s">
        <v>141</v>
      </c>
      <c r="C36" s="3">
        <v>27</v>
      </c>
      <c r="D36" s="4"/>
    </row>
    <row r="37" spans="2:5" ht="17">
      <c r="B37" s="2" t="s">
        <v>143</v>
      </c>
      <c r="C37" s="3">
        <v>20</v>
      </c>
      <c r="D37" s="4"/>
    </row>
    <row r="38" spans="2:5" ht="17">
      <c r="B38" s="2" t="s">
        <v>144</v>
      </c>
      <c r="C38" s="3">
        <v>13</v>
      </c>
      <c r="D38" s="4"/>
    </row>
    <row r="39" spans="2:5" ht="17">
      <c r="B39" s="2" t="s">
        <v>145</v>
      </c>
      <c r="C39" s="3">
        <v>8</v>
      </c>
      <c r="D39" s="4"/>
    </row>
    <row r="41" spans="2:5" ht="18">
      <c r="B41" s="19" t="s">
        <v>151</v>
      </c>
      <c r="C41" s="12"/>
      <c r="D41" s="3">
        <f>SUM(D28:D39)</f>
        <v>1920</v>
      </c>
      <c r="E41" s="8" t="s">
        <v>11</v>
      </c>
    </row>
  </sheetData>
  <mergeCells count="12">
    <mergeCell ref="L26:N32"/>
    <mergeCell ref="B4:G6"/>
    <mergeCell ref="B41:C41"/>
    <mergeCell ref="L11:N15"/>
    <mergeCell ref="L17:N17"/>
    <mergeCell ref="B2:G2"/>
    <mergeCell ref="L25:N25"/>
    <mergeCell ref="L18:N22"/>
    <mergeCell ref="L10:N10"/>
    <mergeCell ref="B25:F25"/>
    <mergeCell ref="B23:G23"/>
    <mergeCell ref="I9:K9"/>
  </mergeCells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1_線を引く</vt:lpstr>
      <vt:lpstr>2_相関のパターン</vt:lpstr>
      <vt:lpstr>3_面積最大化</vt:lpstr>
      <vt:lpstr>4_最適価格</vt:lpstr>
      <vt:lpstr>5_ベスト直線</vt:lpstr>
      <vt:lpstr>6_最小二乗法</vt:lpstr>
      <vt:lpstr>演習①_基本</vt:lpstr>
      <vt:lpstr>演習②_応用</vt:lpstr>
      <vt:lpstr>挑戦①_広告費の最適化</vt:lpstr>
      <vt:lpstr>挑戦②_月別気温で売上予測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幹生 小船</cp:lastModifiedBy>
  <dcterms:created xsi:type="dcterms:W3CDTF">2026-05-10T02:35:07Z</dcterms:created>
  <dcterms:modified xsi:type="dcterms:W3CDTF">2026-05-11T02:55:42Z</dcterms:modified>
</cp:coreProperties>
</file>