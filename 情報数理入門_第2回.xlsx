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ikiokofune/Projects/joho-suuri-02/"/>
    </mc:Choice>
  </mc:AlternateContent>
  <xr:revisionPtr revIDLastSave="0" documentId="13_ncr:1_{5092EFFD-26AD-B449-9697-4C19A10FE5D9}" xr6:coauthVersionLast="47" xr6:coauthVersionMax="47" xr10:uidLastSave="{00000000-0000-0000-0000-000000000000}"/>
  <bookViews>
    <workbookView xWindow="4420" yWindow="660" windowWidth="25820" windowHeight="18980" activeTab="6" xr2:uid="{00000000-000D-0000-FFFF-FFFF00000000}"/>
  </bookViews>
  <sheets>
    <sheet name="1_複利" sheetId="1" r:id="rId1"/>
    <sheet name="2_誤差" sheetId="2" r:id="rId2"/>
    <sheet name="3_次方程式" sheetId="3" r:id="rId3"/>
    <sheet name="5_1次不等式" sheetId="4" r:id="rId4"/>
    <sheet name="6_連立方程式" sheetId="5" r:id="rId5"/>
    <sheet name="7_30日チャレンジ" sheetId="6" r:id="rId6"/>
    <sheet name="演習①_基本" sheetId="8" r:id="rId7"/>
    <sheet name="演習②_応用" sheetId="9" r:id="rId8"/>
    <sheet name="挑戦①_直感と検証" sheetId="10" r:id="rId9"/>
    <sheet name="挑戦②_複合分析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1" l="1"/>
  <c r="C19" i="11"/>
  <c r="D64" i="9"/>
  <c r="C64" i="9"/>
  <c r="C58" i="8"/>
  <c r="C39" i="1"/>
  <c r="C10" i="1"/>
</calcChain>
</file>

<file path=xl/sharedStrings.xml><?xml version="1.0" encoding="utf-8"?>
<sst xmlns="http://schemas.openxmlformats.org/spreadsheetml/2006/main" count="221" uniqueCount="213">
  <si>
    <t>Part 1：『数』と『式』は別物</t>
  </si>
  <si>
    <t>【ストーリー】
100万円を年利 3% で預けた。30年後、いくらになっている？
1年ごとに金額がどう増えていくかを、式を1つ書くだけで30年分一気に出してみよう。</t>
  </si>
  <si>
    <t>年 n</t>
  </si>
  <si>
    <t>金額（円）</t>
  </si>
  <si>
    <t>【ステップ1：式を書く】</t>
  </si>
  <si>
    <t>C10 のセル（黄色）に次の式を入力：
    =C9*1.03
意味：『前年の金額に 1.03 をかけたもの』
これは数学で書くと a_n = a_{n-1} × 1.03 と同じ。</t>
  </si>
  <si>
    <t>【ステップ2：ドラッグで展開】</t>
  </si>
  <si>
    <t>C10 をクリック → セル右下の小さな■をつかんで
C39 まで下にドラッグしてください。
→ 30年分の金額が一瞬で計算される。
→ これが『式の力』。1 本の式が 30 個の数を生んだ。</t>
  </si>
  <si>
    <t>【ステップ3：グラフを描く】</t>
  </si>
  <si>
    <t>B9:C39 を選択 → 挿入メニュー → グラフ
→ 折れ線グラフを選択
→ 時間が経つほど傾きが急になる『指数的カーブ』が見える。</t>
  </si>
  <si>
    <t>【実験してみよう】</t>
  </si>
  <si>
    <t>① C9 の 1000000 を 2000000 に変えてみる
   → グラフが一瞬で書き直される
② C10 の式の 1.03 を 1.05 に変えてみる
   → 30年後の到達点が大きく変わる（利率の威力）</t>
  </si>
  <si>
    <t>【問い】</t>
  </si>
  <si>
    <t>年利が何 % のとき、30年で約 2 倍になるか？</t>
  </si>
  <si>
    <t>1.03 を 1.01, 1.02, ... と動かしながら探ってみよう。</t>
  </si>
  <si>
    <t>小話：コンピュータの数は、わずかにズレている</t>
  </si>
  <si>
    <t>【問題提起】
私たちが 0.1 + 0.2 を計算すると 0.3。当たり前？
コンピュータの内部では、実はそうなっていない。隠された誤差を覗いてみよう。</t>
  </si>
  <si>
    <t>計算の説明</t>
  </si>
  <si>
    <t>結果</t>
  </si>
  <si>
    <t>【観察のポイント】</t>
  </si>
  <si>
    <t>0.1 + 0.2</t>
  </si>
  <si>
    <t>・3 行目は TRUE に見える（Sheets が表示上で丸めている）
・4 行目で 0.1+0.2 を 18 桁まで表示すると、末尾に『…044』が出現！
・6 行目の引き算は 0 ではなく、わずかに 0 でない微小値。
→ Sheets は『見せないだけ』で、内部は誤差を抱えている。</t>
  </si>
  <si>
    <t>(0.1+0.2) = 0.3 を比較</t>
  </si>
  <si>
    <t>(0.1+0.2) - 0.3</t>
  </si>
  <si>
    <t>【なぜズレる？】</t>
  </si>
  <si>
    <t>コンピュータは内部で 2 進数（0 と 1）を使う。
10 進数の 0.1 を 2 進数で書くと、循環小数になる：
  0.1(10) = 0.000110011001100...(2)
メモリには限界があるので、どこかで打ち切る。
その端数が『誤差』の正体。</t>
  </si>
  <si>
    <t>【現実の影響】</t>
  </si>
  <si>
    <t>・会計システム：小さな誤差が何百万回の取引で累積
・1991 年の湾岸戦争：パトリオットミサイルの時刻計算誤差で迎撃失敗
→ 普段は安全な Sheets でも、『見えているのは丸めた値』と意識しておく。</t>
  </si>
  <si>
    <t>Part 2：1次方程式 = 『グラフがゼロ線と交わる点』</t>
  </si>
  <si>
    <t>【ストーリー】
ドローン配達サービス。基本料 500 円、1km につき 80 円。
予算 2000 円で、最大で何 km 先まで届けられる？
つまり 500 + 80x = 2000、言い換えれば f(x) = 80x − 1500 = 0 を解きたい。</t>
  </si>
  <si>
    <t>x (km)</t>
  </si>
  <si>
    <t>f(x) = 80x − 1500</t>
  </si>
  <si>
    <t>C10 のセルに次の式を入力：
    =80*B10-1500
B10 は x = 0 を指している。</t>
  </si>
  <si>
    <t>【ステップ2：下まで展開】</t>
  </si>
  <si>
    <t>C10 をクリック → ■を C40 までドラッグ。
x = 0 から x = 30 までの f(x) が一気に並ぶ。</t>
  </si>
  <si>
    <t>【ステップ3：グラフで読む】</t>
  </si>
  <si>
    <t>B9:C40 を選択 → 挿入 → グラフ → 折れ線
→ グラフが x 軸（ゼロ線）と交わる点を探す。
→ その x が『方程式の解』。
→ 数値的には x ≒ 18.75（km）</t>
  </si>
  <si>
    <t>【代数との照合】</t>
  </si>
  <si>
    <t>紙で解くと： 80x = 1500 より x = 1500/80 = 18.75
グラフで読んだ値と完全一致。
『代数で解く』と『グラフで読む』は同じことの別表現。</t>
  </si>
  <si>
    <t>Part 3：不等式 = 『グラフの片側の領域』</t>
  </si>
  <si>
    <t>【ストーリー】
スマホの料金プランを比較したい。
プラン A：基本料 0 円 + 500 円/GB
プラン B：基本料 3000 円 + 100 円/GB
何 GB から B のほうが安い？（不等式 500x &gt; 3000 + 100x の解は？）</t>
  </si>
  <si>
    <t>x (GB)</t>
  </si>
  <si>
    <t>A: 500x</t>
  </si>
  <si>
    <t>B: 3000+100x</t>
  </si>
  <si>
    <t>安い方</t>
  </si>
  <si>
    <t>【ステップ1：2本の直線】</t>
  </si>
  <si>
    <t>C10 に =500*B10
D10 に =3000+100*B10
C10:D10 を選んで C30:D30 までドラッグ。</t>
  </si>
  <si>
    <t>【ステップ2：どちらが安いか判定】</t>
  </si>
  <si>
    <t>E10 に次の式：
    =IF(C10&lt;D10,"A","B")
E30 までドラッグ。A と B が切り替わる境目が見える。</t>
  </si>
  <si>
    <t>【ステップ3：グラフで重ねる】</t>
  </si>
  <si>
    <t>B9:D30 を選択 → 挿入 → グラフ → 折れ線
2 本の直線が交差する点が見える。
→ 交点の x が『方程式の解』（等号の場合）
→ その左右のどちらかが『不等式の解（領域）』</t>
  </si>
  <si>
    <t>【発見】</t>
  </si>
  <si>
    <t>交点は x = 7.5 GB のあたり。
・7.5 より少なければ A が安い（x &lt; 7.5）
・7.5 より多ければ B が安い（x &gt; 7.5）
方程式の解は『点』、不等式の解は『領域』。兄弟関係。</t>
  </si>
  <si>
    <t>Part 4：連立方程式 = 『2本のグラフの交点』</t>
  </si>
  <si>
    <t>【ストーリー】
A 豆（500 円/100g）と B 豆（800 円/100g）を混ぜて、
合計 500g で 3200 円のブレンドを作りたい。A と B を何 g ずつ？
（x = A の g、y = B の g として、2 つの条件を同時に満たしたい）</t>
  </si>
  <si>
    <t>【連立方程式】</t>
  </si>
  <si>
    <t>【数式の変形】</t>
  </si>
  <si>
    <t>条件1（質量）</t>
  </si>
  <si>
    <t>x + y = 500</t>
  </si>
  <si>
    <t>条件1を y について解く： y = 500 − x
条件2を y について解く： y = (3200 − 5x)/8
→ この 2 本の直線を同じグラフに描く！</t>
  </si>
  <si>
    <t>条件2（金額）</t>
  </si>
  <si>
    <t>5x + 8y = 3200</t>
  </si>
  <si>
    <t>※ 金額の単位を 100g = 1 にそろえている</t>
  </si>
  <si>
    <t>x (g)</t>
  </si>
  <si>
    <t>y1 = 500 − x</t>
  </si>
  <si>
    <t>y2 = (3200 − 5x)/8</t>
  </si>
  <si>
    <t>【ステップ1：2つの式を入力】</t>
  </si>
  <si>
    <t>C15 に =500-B15
D15 に =(3200-5*B15)/8
C15:D15 を C25:D25 までドラッグ。</t>
  </si>
  <si>
    <t>【ステップ2：グラフで重ねる】</t>
  </si>
  <si>
    <t>B14:D25 を選択 → 挿入 → グラフ → 折れ線
2 本の直線の交点が、両方の条件を満たす唯一の点。
読み取り値：(x, y) ≒ (266.7, 233.3)
→ A豆 約 267g、B豆 約 233g</t>
  </si>
  <si>
    <t>【実験：解が消える瞬間】</t>
  </si>
  <si>
    <t>条件2の 3200 を 5000 にすると…
D列の式の 3200 を 5000 に変えて、グラフを観察。
→ 2 本の直線が 500g 以内で交わらない = 実現不可能。
→ 『連立方程式に解がない』という状況がここで見える。</t>
  </si>
  <si>
    <t>Part 5：指数は爆発する</t>
  </si>
  <si>
    <t>【表紙の問題に戻る】
A案：毎日 10,000 円。 B案：1 円から始めて毎日 2 倍。
30日間でどちらが得？</t>
  </si>
  <si>
    <t>日 n</t>
  </si>
  <si>
    <t>A案（円）</t>
  </si>
  <si>
    <t>B案（円）</t>
  </si>
  <si>
    <t>【ステップ1：漸化式を書く】</t>
  </si>
  <si>
    <t>C10 に次の式： =C9+10000
   （A案は毎日 1 万円ずつ増える）
D10 に次の式： =D9*2
   （B案は前日の 2 倍）</t>
  </si>
  <si>
    <t>【ステップ2：30日まで展開】</t>
  </si>
  <si>
    <t>C10:D10 を選んで C38:D38 までドラッグ。
最終日の金額を見てみよう。</t>
  </si>
  <si>
    <t>【ステップ3：グラフで見る】</t>
  </si>
  <si>
    <t>B8:D38 を選択 → 挿入 → グラフ → 折れ線
最初は A が勝つ。けれど途中で B が追い抜く。
さらにその後 B は垂直に立ち上がる。
【軸を対数スケールに変更】：
  グラフをダブルクリック → カスタマイズ → 縦軸 → 対数目盛り
  → B案が『直線』に化ける（これが等比数列の正体）</t>
  </si>
  <si>
    <t>【答え合わせ】</t>
  </si>
  <si>
    <t>A案 30日合計 = 30 万円
B案 30日目の受取額 = 2^29 ≒ 5.37 億円
B案 30日合計 = 2^30 − 1 ≒ 10.7 億円
→ 倍々の威力（指数爆発）は人間の直感スケールを遥かに超える。</t>
  </si>
  <si>
    <t>【現実への接続】</t>
  </si>
  <si>
    <t>・複利投資：長期で効く（タブ1の内容）
・リボ払い：借金が同じ仕組みで増える（怖い方）
・ウイルスの感染者数（R0 &gt; 1 のとき）
・ムーアの法則（半導体の集積度）
→ 倍々の変化は、現実のあちこちに潜んでいる。</t>
  </si>
  <si>
    <t>演習問題 ①　基本（ウォームアップ）</t>
  </si>
  <si>
    <t>各タブで学んだ「式を書く → ドラッグ → グラフ → 読み取る」の 4 ステップを、自分の手で再現するセット。
黄色のセルに式を入力し、下までドラッグして結果を観察しよう。</t>
  </si>
  <si>
    <t xml:space="preserve">  Q1   複利 ／ バイクの貯金</t>
  </si>
  <si>
    <t>バイトで貯めた 15 万円を、年利 4% のネット銀行に預けた。
追加入金なしで、バイク代 20 万円まで「育てる」には何年かかる？
式 1 本と、ドラッグだけで答えよう。</t>
  </si>
  <si>
    <t>残高（円）</t>
  </si>
  <si>
    <t>【ステップ 1】初期残高を確認</t>
  </si>
  <si>
    <t>セル B15 と C15 を見る。n=0 年目、残高 150,000 円がスタート地点。</t>
  </si>
  <si>
    <t>【ステップ 2】漸化式を入力（黄色セル）</t>
  </si>
  <si>
    <t>セル C16（黄色）に次の式が入力されている：
    =C15*1.04
意味：『前年の残高に 1.04（= 1 + 0.04）をかける』。
数学で書くと  a_n = a_{n-1} × 1.04。</t>
  </si>
  <si>
    <t>【ステップ 3】下までドラッグ</t>
  </si>
  <si>
    <t>C16 をクリック → 右下の黒い■をつかんで C35 までドラッグ。
→ 20 年分の残高が一瞬で計算される。</t>
  </si>
  <si>
    <t>【ステップ 4】グラフで確認</t>
  </si>
  <si>
    <t>B14:C35 を選択 → 挿入 → グラフ → 折れ線。
時間とともに傾きが急になる「指数的カーブ」が見えるはず。</t>
  </si>
  <si>
    <t>【ステップ 5】読み取る</t>
  </si>
  <si>
    <t>残高が「200,000」を最初に超える年を、グラフまたは表から探す。</t>
  </si>
  <si>
    <t>【問い】　残高が 200,000 円を最初に超えるのは、何年目？</t>
  </si>
  <si>
    <t>答え：</t>
  </si>
  <si>
    <t>● 正解：8 年目（残高 ≒ 205,306 円）
● 解説：7 年目＝197,402 円（まだ不足）、8 年目＝205,306 円。
● 発展：C2 セル（または式内の 1.04）を 1.05 に書き換えると 6 年目に到達する。
　　　   わずか利率 1% の違いが、到達年を 2 年短縮する。複利のレバレッジ。</t>
  </si>
  <si>
    <t xml:space="preserve">  Q2   1 次方程式 ／ アクセサリー屋台</t>
  </si>
  <si>
    <t>手作りアクセサリーを 1 個 400 円で売る。屋台の設置費は 60,000 円。
利益＝売上 − 設置費 と考えたとき、何個売れば「元が取れる（利益ゼロを超える）」？
方程式 f(x) = 400x − 60000 = 0 を、Excel のグラフで解いてみよう。</t>
  </si>
  <si>
    <t>個数 x</t>
  </si>
  <si>
    <t>f(x) = 400x − 60000</t>
  </si>
  <si>
    <t>【ステップ 1】式を入力（黄色セル）</t>
  </si>
  <si>
    <t>セル C58（黄色）に次の式が入っている：
    =400*B58-60000
「個数」ごとの利益を計算する式。x = 0 のときは −60,000（赤字）。</t>
  </si>
  <si>
    <t>【ステップ 2】下までドラッグ</t>
  </si>
  <si>
    <t>C58 → C78 までドラッグ。
x = 0 から x = 200 までの利益が並ぶ。</t>
  </si>
  <si>
    <t>【ステップ 3】グラフを描く</t>
  </si>
  <si>
    <t>B57:C78 を選択 → 挿入 → 折れ線グラフ。
右上がりの直線が描かれる。</t>
  </si>
  <si>
    <t>【ステップ 4】x 軸との交点を読む</t>
  </si>
  <si>
    <t>グラフが「0 のライン（x 軸）」と交わる x の値が、方程式の解。
表からは、値が負 → 正 に切り替わる最初の個数を探す。</t>
  </si>
  <si>
    <t>【補足】代数で確かめる</t>
  </si>
  <si>
    <t>紙で解くと：400x = 60,000 → x = 60,000 ÷ 400 = 150。
グラフで読んだ値と一致するはず。</t>
  </si>
  <si>
    <t>【問い】　何個売れば元が取れる（f(x) = 0 となる x）？</t>
  </si>
  <si>
    <t>● 正解：150 個。
● 解説：f(150) = 400 × 150 − 60,000 = 0。149 個だと −400 円（まだ赤字）、151 個なら +400 円（黒字）。
● 発展：設置費を 80,000 円に変えると何個？（式 C 列の 60000 を 80000 に）→ 200 個。</t>
  </si>
  <si>
    <t>演習問題 ②　応用（条件を整理して式を立てる）</t>
  </si>
  <si>
    <t>IF 関数でプランを比較したり、連立方程式を 2 本の直線の交点として読み解くセット。
「いくら？」より先に「境界はどこ？」を Excel で探す練習。</t>
  </si>
  <si>
    <t xml:space="preserve">  Q3   1 次不等式 ／ 電気プランの乗り換え判定</t>
  </si>
  <si>
    <t>あなたの家の電気プランを見直したい。
　プラン P：基本料 500 円 ＋ 25 円／kWh
　プラン Q：基本料 1,500 円 ＋ 20 円／kWh
月何 kWh を境に、Q のほうが得になる？ IF 関数を使って自動判定させよう。</t>
  </si>
  <si>
    <t>月 kWh</t>
  </si>
  <si>
    <t>プラン P</t>
  </si>
  <si>
    <t>プラン Q</t>
  </si>
  <si>
    <t>【ステップ 1】3 つの式を入力（黄色セル）</t>
  </si>
  <si>
    <t>・C16 に =500+25*B16（プラン P の月額）
・D16 に =1500+20*B16（プラン Q の月額）
・E16 に =IF(C16&lt;D16,"P","Q")（安い方を表示）</t>
  </si>
  <si>
    <t>【ヒント】IF 関数の読み方</t>
  </si>
  <si>
    <t>IF(条件, 条件が真のとき, 条件が偽のとき)
→ ここでは「P の方が安いなら P、そうでなければ Q」と表示する意味。</t>
  </si>
  <si>
    <t>【ステップ 2】3 列まとめてドラッグ</t>
  </si>
  <si>
    <t>C16:E16 を選択 → 右下の■を E36 までドラッグ。
→ 月 kWh ごとに、P と Q の金額、勝者が自動で並ぶ。</t>
  </si>
  <si>
    <t>【ステップ 3】グラフで重ねる</t>
  </si>
  <si>
    <t>B15:D36 を選択（E 列は除く）→ 挿入 → 折れ線。
2 本の直線の交点が、プランの切り替え点。</t>
  </si>
  <si>
    <t>【ステップ 4】E 列で境界を読む</t>
  </si>
  <si>
    <t>「P」から「Q」に切り替わる最初の行を探す。その行の B 列の値が境界 kWh。</t>
  </si>
  <si>
    <t>【問い】　① 月何 kWh 以上使う家庭なら、プラン Q に切り替えるべき？
② あなたの家が月 180 kWh のとき、どちらが得？</t>
  </si>
  <si>
    <t>① 境界 kWh：</t>
  </si>
  <si>
    <t>② 180 kWh では：</t>
  </si>
  <si>
    <t>● ① 200 kWh 以上で Q が得（境界は 200 kWh ちょうど：どちらも 5,500 円で一致）
● ② 180 kWh → P = 5,000 円、Q = 5,100 円。P の方が得。
● 代数：500 + 25x = 1500 + 20x → 5x = 1000 → x = 200。
● 気づき：「不等式の解」はグラフの「下にある直線の側」。IF 関数と同じ判定を、視覚的に見ていることになる。</t>
  </si>
  <si>
    <t xml:space="preserve">  Q4   連立方程式 ／ A 豆・B 豆のブレンド</t>
  </si>
  <si>
    <t>A 豆 500 円／100g と B 豆 800 円／100g を混ぜて、合計 500g、総額 3,200 円のブレンドを作りたい。
A を x (g)、B を y (g) として、条件を整理する：
　質量：x + y = 500       ⇒  y = 500 − x
　金額：5x + 8y = 3,200  ⇒  y = (3,200 − 5x) ÷ 8
2 本の直線を Excel で重ね、交点が解。</t>
  </si>
  <si>
    <t>y₁ = 500 − x</t>
  </si>
  <si>
    <t>y₂ = (3200 − 5x) / 8</t>
  </si>
  <si>
    <t>【ステップ 1】2 本の直線を式で書く</t>
  </si>
  <si>
    <t>・C64 に =500-B64（条件 1 を y について解いた式）
・D64 に =(3200-5*B64)/8（条件 2 を y について解いた式）</t>
  </si>
  <si>
    <t>【ステップ 2】2 列ドラッグ</t>
  </si>
  <si>
    <t>C64:D64 を選択 → D75 までドラッグ。</t>
  </si>
  <si>
    <t>B63:D75 を選択 → 挿入 → 折れ線。
2 本の直線が交わる点が、両方を満たす唯一の (x, y)。</t>
  </si>
  <si>
    <t>【ステップ 4】交点の値を読む</t>
  </si>
  <si>
    <t>表を眺めて、y₁ と y₂ がほぼ同じになる行を探す。
x ≒ 266.67 で両者が一致するはず。</t>
  </si>
  <si>
    <t>【発展】条件を変えて「解なし」を見る</t>
  </si>
  <si>
    <t>式 D 列内の 3200 を 5000 に書き換えると、2 本の直線が 500g の範囲で交わらない。
→ ブレンドが作れない（解なし）ことが視覚的に分かる。</t>
  </si>
  <si>
    <t>【問い】　A 豆・B 豆は何 g ずつ混ぜればいい？（小数でもOK）</t>
  </si>
  <si>
    <t>A 豆（x）：</t>
  </si>
  <si>
    <t>B 豆（y）：</t>
  </si>
  <si>
    <t>● 正解：x ≒ 266.67 g、y ≒ 233.33 g。
● 代数：y = 500 − x を 5x + 8y = 3200 に代入 → 5x + 8(500 − x) = 3200 → x = 266.67。
● 連立方程式 ＝ 「2 本のグラフの交点を探す」。それぞれの条件が「1 本の直線」に対応している。</t>
  </si>
  <si>
    <t>チャレンジ問題 ①　直感 → 計算 → 検証</t>
  </si>
  <si>
    <t>手を動かす前に、まず「直感で予想」する。
Excel で計算した結果と見比べて、数学が直感をどう裏切るかを体感する。</t>
  </si>
  <si>
    <t xml:space="preserve">  Q5   指数減衰 vs 線形減少 ／ お菓子袋の対決</t>
  </si>
  <si>
    <t>1,000g のお菓子袋が 2 つある。どちらも同時に食べ始める。
　袋 A：毎日、前日の「1% ずつ」減る（つまり前日の 99%）
　袋 B：毎日、きっかり「10g ずつ」減る
30 日後、どちらが多く残っている？
　① まず計算せず、直感で予想せよ（下の「予想欄」に書く）。
　② Excel で計算して検証せよ。
　③ 予想と結果のズレを言葉で説明せよ。</t>
  </si>
  <si>
    <t>【問い】　STEP 1：計算せず、直感で予想せよ。30 日後どちらが多い？ また、その差はどれくらい？</t>
  </si>
  <si>
    <t>予想（A or B）：</t>
  </si>
  <si>
    <t>予想（差 g）：</t>
  </si>
  <si>
    <t>袋 A（g）</t>
  </si>
  <si>
    <t>袋 B（g）</t>
  </si>
  <si>
    <t>差 (A − B)</t>
  </si>
  <si>
    <t>【ステップ 1】初期値を確認</t>
  </si>
  <si>
    <t>C27、D27 ともに 1000（g）からスタート。</t>
  </si>
  <si>
    <t>【ステップ 2】3 つの式を入れる（黄色セル）</t>
  </si>
  <si>
    <t>・C28 に =C27*0.99（袋 A：前日の 99%）
・D28 に =D27-10（袋 B：前日 − 10g）
・E28 に =C28-D28（A と B の差）</t>
  </si>
  <si>
    <t>【ステップ 3】3 列まとめてドラッグ</t>
  </si>
  <si>
    <t>C28:E28 を選択 → E57 まで一気にドラッグ。</t>
  </si>
  <si>
    <t>【ステップ 4】グラフで重ねる</t>
  </si>
  <si>
    <t>B26:D57 を選択 → 挿入 → 折れ線。
2 つの減り方（カーブ vs 直線）の違いが一目で分かる。</t>
  </si>
  <si>
    <t>【ステップ 5】対数軸で見てみる</t>
  </si>
  <si>
    <t>グラフの縦軸を右クリック → 軸の書式設定 → 「対数目盛」にチェック。
→ 袋 A が直線になる（指数減衰の特徴）。</t>
  </si>
  <si>
    <t>【問い】　STEP 2（検証）：Excel の結果から、30 日後どちらが多く残っている？ 差は何 g？</t>
  </si>
  <si>
    <t>結果（多い方）：</t>
  </si>
  <si>
    <t>結果（差 g）：</t>
  </si>
  <si>
    <t>【問い】　STEP 3（考察）：予想と結果が違った場合、なぜズレた？ 言葉で説明せよ。
（ヒント：袋 A の「1%」は、元が大きいときは量が多いが、元が減ると少しに。袋 B は常に一定。）</t>
  </si>
  <si>
    <t>● 結果：袋 A ≒ 739.7g、袋 B = 700g。差は約 +39.7g で A の方が多い。
● 直感ズレの理由：「1% 減る」と聞くと A の方が激しく減ると錯覚しがちだが、
　A は「元が小さくなると減りも小さくなる（指数減衰）」のに対し、B は常に 10g 減り続ける（線形）。
　初日は A=10g 減、B=10g 減で同じ。だが 2 日目以降、A は 9.9g、9.8g、…と減少量が小さくなる。
● 発展：もし「毎日 2% 減る」なら結果はどうなる？（試してみる：C 列の 0.99 を 0.98 に書き換え）
　→ 30 日後 A ≒ 545g、B = 700g。今度は B の方が多い。線形と指数の「交差点」が別の場所に移る。</t>
  </si>
  <si>
    <t>チャレンジ問題 ②　複合分析・試行錯誤型</t>
  </si>
  <si>
    <t>指数成長・累計・境界探索の 3 つを組み合わせた分析課題。
「初月売上」を変数セルに置き、値を変えながらゴール（開業資金の回収）に到達する条件を探る。</t>
  </si>
  <si>
    <t xml:space="preserve">  Q6   カフェ開業プロジェクト ／ 24 ヶ月で 300 万を回収せよ</t>
  </si>
  <si>
    <t>カフェを開業する。開業資金は 300 万円（回収目標）。
・毎月の利益 ＝ 売上 × 20%（粗利マージン）
・売上は毎月 5% ずつ成長する（口コミ・リピーター効果）
問い：初月の売上を変化させながら、24 ヶ月以内に累計利益が 300 万円を超える
「最小の初月売上」を試行錯誤で探せ。その後、成長率を 3% に下げたらどう変わるか考察する。</t>
  </si>
  <si>
    <t>初月の売上（入力セル）</t>
  </si>
  <si>
    <t>円</t>
  </si>
  <si>
    <t>成長率：</t>
  </si>
  <si>
    <t>24 ヶ月の累計利益（自動計算）</t>
  </si>
  <si>
    <t>月 n</t>
  </si>
  <si>
    <t>売上（円）</t>
  </si>
  <si>
    <t>利益（円）</t>
  </si>
  <si>
    <t>累計利益（円）</t>
  </si>
  <si>
    <t>【ステップ 1】入力セル 2 つを確認</t>
  </si>
  <si>
    <t>C17（初月売上、黄色）と G17（成長率、黄色）。
最初は 100,000 円、5% が入っている。ここを変えれば全部が連動する。</t>
  </si>
  <si>
    <t>【ステップ 2】式の流れを確認</t>
  </si>
  <si>
    <t>・C22（初月売上）＝ =$C$17（入力セル参照、絶対参照）
・C23（2 ヶ月目以降）＝ =前月 × (1 + 成長率)
・D 列（利益）＝ =C × 0.2
・E 列（累計）＝ =前月の累計 + 当月利益</t>
  </si>
  <si>
    <t>【ステップ 3】C・D・E 列をドラッグ</t>
  </si>
  <si>
    <t>C23:E23 を選択 → E45 までドラッグ。
（C22、D22、E22 は初月行で既に入力済み）</t>
  </si>
  <si>
    <t>【ステップ 4】グラフで累計を見る</t>
  </si>
  <si>
    <t>B21:E45 を選択 → 挿入 → 折れ線。
累計利益（E 列）が 3,000,000 円（300 万円）のラインを超える月を探す。</t>
  </si>
  <si>
    <t>【ステップ 5】初月売上を変えて探る</t>
  </si>
  <si>
    <t>セル C17（初月売上）の値を上下させる。
目標：総累計（C19）を 3,000,000 円ちょうど以上にする最小の初月売上を探す。
50,000 → 100,000 → 200,000 と試してから、細かく詰める。</t>
  </si>
  <si>
    <t>【ステップ 6】成長率を下げて比較</t>
  </si>
  <si>
    <t>G17 を 0.05 → 0.03 に書き換える。
このとき、300 万円を回収するのに必要な初月売上はいくらに変わる？</t>
  </si>
  <si>
    <t>【問い】　① 成長率 5% のとき、300 万円を回収できる最小の初月売上はいくら？（約 1,000 円単位）
② 成長率 3% に下げたら、最小の初月売上はいくらに変わる？
③ ①と②の比較から、「売上規模」と「成長率」のどちらを経営で優先すべきか考察せよ。</t>
  </si>
  <si>
    <t>① 5% のとき：</t>
  </si>
  <si>
    <t>② 3% のとき：</t>
  </si>
  <si>
    <t>③ 考察：</t>
  </si>
  <si>
    <t>● ① 成長率 5% → 初月売上 約 168,000 円で累計利益が 300 万を超える。
● ② 成長率 3% → 初月売上 約 257,000 円が必要。
● ③ 考察例：成長率 2% の差が、必要な初月売上を 1.5 倍以上にする。
　指数成長は時間が味方だが、「成長率」の差が複利的に拡大する。
　リピート施策で成長率を 1% 上げる努力は、初月売上を大きく確保するより効果的なことが多い。
● 教訓：単発の売上より、「継続的な成長」の方が長期では効く。これは PART 1（複利）と同じ構造。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</si>
</sst>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scheme val="minor"/>
    </font>
    <font>
      <b/>
      <sz val="16"/>
      <color rgb="FF1F3864"/>
      <name val="Arial"/>
      <family val="2"/>
    </font>
    <font>
      <sz val="11"/>
      <color theme="1"/>
      <name val="Noto Sans"/>
    </font>
    <font>
      <b/>
      <sz val="11"/>
      <color rgb="FFFFFFFF"/>
      <name val="Noto Sans"/>
    </font>
    <font>
      <b/>
      <sz val="11"/>
      <color theme="1"/>
      <name val="Noto Sans"/>
    </font>
    <font>
      <sz val="11"/>
      <color theme="1"/>
      <name val="Arial"/>
      <family val="2"/>
    </font>
    <font>
      <b/>
      <sz val="16"/>
      <color rgb="FF1F3864"/>
      <name val="Noto Sans"/>
    </font>
    <font>
      <b/>
      <sz val="11"/>
      <color rgb="FFFFFFFF"/>
      <name val="Arial"/>
      <family val="2"/>
    </font>
    <font>
      <sz val="10"/>
      <color rgb="FF595959"/>
      <name val="Noto Sans"/>
    </font>
    <font>
      <b/>
      <sz val="16"/>
      <color rgb="FF2E75B6"/>
      <name val="Arial"/>
      <family val="2"/>
    </font>
    <font>
      <b/>
      <sz val="11"/>
      <color rgb="FFFFFFFF"/>
      <name val="Noto Sans"/>
    </font>
    <font>
      <sz val="10"/>
      <name val="Noto Sans"/>
    </font>
    <font>
      <i/>
      <sz val="10"/>
      <color rgb="FF595959"/>
      <name val="Noto Sans"/>
    </font>
    <font>
      <b/>
      <sz val="14"/>
      <color rgb="FFFFFFFF"/>
      <name val="Arial"/>
      <family val="2"/>
    </font>
    <font>
      <sz val="11"/>
      <name val="Noto Sans"/>
    </font>
    <font>
      <b/>
      <sz val="10"/>
      <color rgb="FF1F4E79"/>
      <name val="Consolas"/>
      <family val="2"/>
    </font>
    <font>
      <b/>
      <sz val="11"/>
      <color rgb="FFFFFFFF"/>
      <name val="Arial"/>
      <family val="2"/>
    </font>
    <font>
      <b/>
      <sz val="11"/>
      <color rgb="FFC00000"/>
      <name val="Arial"/>
      <family val="2"/>
    </font>
    <font>
      <b/>
      <sz val="11"/>
      <name val="Arial"/>
      <family val="2"/>
    </font>
    <font>
      <i/>
      <sz val="9"/>
      <color rgb="FF595959"/>
      <name val="Noto Sans"/>
    </font>
    <font>
      <b/>
      <sz val="11"/>
      <color rgb="FF1F4E79"/>
      <name val="Arial"/>
      <family val="2"/>
    </font>
    <font>
      <b/>
      <sz val="13"/>
      <color rgb="FFC00000"/>
      <name val="Arial"/>
      <family val="2"/>
    </font>
    <font>
      <b/>
      <sz val="14"/>
      <color rgb="FF00B050"/>
      <name val="Arial"/>
      <family val="2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rgb="FF595959"/>
      <name val="Noto Sans"/>
    </font>
  </fonts>
  <fills count="16">
    <fill>
      <patternFill patternType="none"/>
    </fill>
    <fill>
      <patternFill patternType="gray125"/>
    </fill>
    <fill>
      <patternFill patternType="solid">
        <fgColor rgb="FFFFF4E5"/>
        <bgColor rgb="FFFFF4E5"/>
      </patternFill>
    </fill>
    <fill>
      <patternFill patternType="solid">
        <fgColor rgb="FF2E75B6"/>
        <bgColor rgb="FF2E75B6"/>
      </patternFill>
    </fill>
    <fill>
      <patternFill patternType="solid">
        <fgColor rgb="FFE7E6E6"/>
        <bgColor rgb="FFE7E6E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</patternFill>
    </fill>
    <fill>
      <patternFill patternType="solid">
        <fgColor rgb="FFFFF4E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/>
      <right/>
      <top style="thin">
        <color rgb="FFBFBFBF"/>
      </top>
      <bottom style="medium">
        <color rgb="FF000000"/>
      </bottom>
      <diagonal/>
    </border>
    <border>
      <left/>
      <right style="thin">
        <color rgb="FFBFBFBF"/>
      </right>
      <top style="thin">
        <color rgb="FFBFBFBF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/>
    <xf numFmtId="0" fontId="6" fillId="0" borderId="0" xfId="0" applyFont="1"/>
    <xf numFmtId="0" fontId="5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10" fillId="1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1" fillId="10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top"/>
    </xf>
    <xf numFmtId="0" fontId="5" fillId="5" borderId="2" xfId="0" applyFont="1" applyFill="1" applyBorder="1" applyAlignment="1">
      <alignment horizontal="left" vertical="top" wrapText="1"/>
    </xf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11" fillId="11" borderId="3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16" fillId="13" borderId="0" xfId="0" applyFont="1" applyFill="1" applyAlignment="1">
      <alignment horizontal="left" vertical="center" indent="1"/>
    </xf>
    <xf numFmtId="0" fontId="19" fillId="15" borderId="3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13" fillId="7" borderId="0" xfId="0" applyFont="1" applyFill="1" applyAlignment="1">
      <alignment horizontal="left" vertical="center" indent="1"/>
    </xf>
    <xf numFmtId="0" fontId="14" fillId="8" borderId="3" xfId="0" applyFont="1" applyFill="1" applyBorder="1" applyAlignment="1">
      <alignment horizontal="left" vertical="top" wrapText="1"/>
    </xf>
    <xf numFmtId="0" fontId="0" fillId="9" borderId="11" xfId="0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17" fillId="14" borderId="3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0" fontId="21" fillId="10" borderId="11" xfId="0" applyFont="1" applyFill="1" applyBorder="1" applyAlignment="1">
      <alignment horizontal="center" vertical="center" wrapText="1"/>
    </xf>
    <xf numFmtId="0" fontId="22" fillId="10" borderId="11" xfId="0" applyFont="1" applyFill="1" applyBorder="1" applyAlignment="1">
      <alignment horizontal="center" vertical="center" wrapText="1"/>
    </xf>
    <xf numFmtId="0" fontId="23" fillId="0" borderId="4" xfId="0" applyFont="1" applyBorder="1"/>
    <xf numFmtId="0" fontId="23" fillId="0" borderId="6" xfId="0" applyFont="1" applyBorder="1"/>
    <xf numFmtId="0" fontId="23" fillId="0" borderId="5" xfId="0" applyFont="1" applyBorder="1"/>
    <xf numFmtId="0" fontId="23" fillId="0" borderId="0" xfId="0" applyFont="1"/>
    <xf numFmtId="0" fontId="23" fillId="0" borderId="7" xfId="0" applyFont="1" applyBorder="1"/>
    <xf numFmtId="0" fontId="23" fillId="0" borderId="8" xfId="0" applyFont="1" applyBorder="1"/>
    <xf numFmtId="0" fontId="23" fillId="0" borderId="9" xfId="0" applyFont="1" applyBorder="1"/>
    <xf numFmtId="0" fontId="23" fillId="0" borderId="10" xfId="0" applyFont="1" applyBorder="1"/>
    <xf numFmtId="0" fontId="25" fillId="15" borderId="3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00"/>
  <sheetViews>
    <sheetView workbookViewId="0"/>
  </sheetViews>
  <sheetFormatPr baseColWidth="10" defaultColWidth="14.5" defaultRowHeight="15" customHeight="1" x14ac:dyDescent="0.2"/>
  <cols>
    <col min="1" max="1" width="2" customWidth="1"/>
    <col min="2" max="2" width="10" customWidth="1"/>
    <col min="3" max="3" width="18" customWidth="1"/>
    <col min="4" max="4" width="3" customWidth="1"/>
    <col min="5" max="5" width="42" customWidth="1"/>
    <col min="6" max="26" width="8.6640625" customWidth="1"/>
  </cols>
  <sheetData>
    <row r="2" spans="2:5" ht="20" x14ac:dyDescent="0.2">
      <c r="B2" s="1" t="s">
        <v>0</v>
      </c>
    </row>
    <row r="4" spans="2:5" ht="60" customHeight="1" x14ac:dyDescent="0.2">
      <c r="B4" s="22" t="s">
        <v>1</v>
      </c>
      <c r="C4" s="21"/>
      <c r="D4" s="21"/>
      <c r="E4" s="21"/>
    </row>
    <row r="5" spans="2:5" x14ac:dyDescent="0.2">
      <c r="B5" s="21"/>
      <c r="C5" s="21"/>
      <c r="D5" s="21"/>
      <c r="E5" s="21"/>
    </row>
    <row r="6" spans="2:5" x14ac:dyDescent="0.2">
      <c r="B6" s="21"/>
      <c r="C6" s="21"/>
      <c r="D6" s="21"/>
      <c r="E6" s="21"/>
    </row>
    <row r="8" spans="2:5" ht="17" x14ac:dyDescent="0.2">
      <c r="B8" s="2" t="s">
        <v>2</v>
      </c>
      <c r="C8" s="2" t="s">
        <v>3</v>
      </c>
      <c r="E8" s="3" t="s">
        <v>4</v>
      </c>
    </row>
    <row r="9" spans="2:5" ht="99.75" customHeight="1" x14ac:dyDescent="0.2">
      <c r="B9" s="4">
        <v>0</v>
      </c>
      <c r="C9" s="4">
        <v>1000000</v>
      </c>
      <c r="E9" s="20" t="s">
        <v>5</v>
      </c>
    </row>
    <row r="10" spans="2:5" x14ac:dyDescent="0.2">
      <c r="B10" s="4">
        <v>1</v>
      </c>
      <c r="C10" s="5">
        <f>C9*1.03</f>
        <v>1030000</v>
      </c>
      <c r="E10" s="21"/>
    </row>
    <row r="11" spans="2:5" x14ac:dyDescent="0.2">
      <c r="B11" s="4">
        <v>2</v>
      </c>
      <c r="C11" s="5"/>
      <c r="E11" s="21"/>
    </row>
    <row r="12" spans="2:5" x14ac:dyDescent="0.2">
      <c r="B12" s="4">
        <v>3</v>
      </c>
      <c r="C12" s="5"/>
      <c r="E12" s="21"/>
    </row>
    <row r="13" spans="2:5" x14ac:dyDescent="0.2">
      <c r="B13" s="4">
        <v>4</v>
      </c>
      <c r="C13" s="5"/>
      <c r="E13" s="21"/>
    </row>
    <row r="14" spans="2:5" x14ac:dyDescent="0.2">
      <c r="B14" s="4">
        <v>5</v>
      </c>
      <c r="C14" s="5"/>
    </row>
    <row r="15" spans="2:5" ht="16" x14ac:dyDescent="0.2">
      <c r="B15" s="4">
        <v>6</v>
      </c>
      <c r="C15" s="5"/>
      <c r="E15" s="3" t="s">
        <v>6</v>
      </c>
    </row>
    <row r="16" spans="2:5" ht="13.5" customHeight="1" x14ac:dyDescent="0.2">
      <c r="B16" s="4">
        <v>7</v>
      </c>
      <c r="C16" s="5"/>
      <c r="E16" s="20" t="s">
        <v>7</v>
      </c>
    </row>
    <row r="17" spans="2:5" x14ac:dyDescent="0.2">
      <c r="B17" s="4">
        <v>8</v>
      </c>
      <c r="C17" s="5"/>
      <c r="E17" s="21"/>
    </row>
    <row r="18" spans="2:5" x14ac:dyDescent="0.2">
      <c r="B18" s="4">
        <v>9</v>
      </c>
      <c r="C18" s="5"/>
      <c r="E18" s="21"/>
    </row>
    <row r="19" spans="2:5" x14ac:dyDescent="0.2">
      <c r="B19" s="4">
        <v>10</v>
      </c>
      <c r="C19" s="5"/>
      <c r="E19" s="21"/>
    </row>
    <row r="20" spans="2:5" x14ac:dyDescent="0.2">
      <c r="B20" s="4">
        <v>11</v>
      </c>
      <c r="C20" s="5"/>
    </row>
    <row r="21" spans="2:5" ht="15.75" customHeight="1" x14ac:dyDescent="0.2">
      <c r="B21" s="4">
        <v>12</v>
      </c>
      <c r="C21" s="5"/>
      <c r="E21" s="3" t="s">
        <v>8</v>
      </c>
    </row>
    <row r="22" spans="2:5" ht="19.5" customHeight="1" x14ac:dyDescent="0.2">
      <c r="B22" s="4">
        <v>13</v>
      </c>
      <c r="C22" s="5"/>
      <c r="E22" s="20" t="s">
        <v>9</v>
      </c>
    </row>
    <row r="23" spans="2:5" ht="15.75" customHeight="1" x14ac:dyDescent="0.2">
      <c r="B23" s="4">
        <v>14</v>
      </c>
      <c r="C23" s="5"/>
      <c r="E23" s="21"/>
    </row>
    <row r="24" spans="2:5" ht="15.75" customHeight="1" x14ac:dyDescent="0.2">
      <c r="B24" s="4">
        <v>15</v>
      </c>
      <c r="C24" s="5"/>
      <c r="E24" s="21"/>
    </row>
    <row r="25" spans="2:5" ht="15.75" customHeight="1" x14ac:dyDescent="0.2">
      <c r="B25" s="4">
        <v>16</v>
      </c>
      <c r="C25" s="5"/>
      <c r="E25" s="21"/>
    </row>
    <row r="26" spans="2:5" ht="15.75" customHeight="1" x14ac:dyDescent="0.2">
      <c r="B26" s="4">
        <v>17</v>
      </c>
      <c r="C26" s="5"/>
    </row>
    <row r="27" spans="2:5" ht="15.75" customHeight="1" x14ac:dyDescent="0.2">
      <c r="B27" s="4">
        <v>18</v>
      </c>
      <c r="C27" s="5"/>
      <c r="E27" s="3" t="s">
        <v>10</v>
      </c>
    </row>
    <row r="28" spans="2:5" ht="18" customHeight="1" x14ac:dyDescent="0.2">
      <c r="B28" s="4">
        <v>19</v>
      </c>
      <c r="C28" s="5"/>
      <c r="E28" s="20" t="s">
        <v>11</v>
      </c>
    </row>
    <row r="29" spans="2:5" ht="15.75" customHeight="1" x14ac:dyDescent="0.2">
      <c r="B29" s="4">
        <v>20</v>
      </c>
      <c r="C29" s="5"/>
      <c r="E29" s="21"/>
    </row>
    <row r="30" spans="2:5" ht="15.75" customHeight="1" x14ac:dyDescent="0.2">
      <c r="B30" s="4">
        <v>21</v>
      </c>
      <c r="C30" s="5"/>
      <c r="E30" s="21"/>
    </row>
    <row r="31" spans="2:5" ht="15.75" customHeight="1" x14ac:dyDescent="0.2">
      <c r="B31" s="4">
        <v>22</v>
      </c>
      <c r="C31" s="5"/>
      <c r="E31" s="21"/>
    </row>
    <row r="32" spans="2:5" ht="15.75" customHeight="1" x14ac:dyDescent="0.2">
      <c r="B32" s="4">
        <v>23</v>
      </c>
      <c r="C32" s="5"/>
      <c r="E32" s="21"/>
    </row>
    <row r="33" spans="2:5" ht="15.75" customHeight="1" x14ac:dyDescent="0.2">
      <c r="B33" s="4">
        <v>24</v>
      </c>
      <c r="C33" s="5"/>
    </row>
    <row r="34" spans="2:5" ht="15.75" customHeight="1" x14ac:dyDescent="0.2">
      <c r="B34" s="4">
        <v>25</v>
      </c>
      <c r="C34" s="5"/>
      <c r="E34" s="3" t="s">
        <v>12</v>
      </c>
    </row>
    <row r="35" spans="2:5" ht="15.75" customHeight="1" x14ac:dyDescent="0.2">
      <c r="B35" s="4">
        <v>26</v>
      </c>
      <c r="C35" s="5"/>
      <c r="E35" s="6" t="s">
        <v>13</v>
      </c>
    </row>
    <row r="36" spans="2:5" ht="15.75" customHeight="1" x14ac:dyDescent="0.2">
      <c r="B36" s="4">
        <v>27</v>
      </c>
      <c r="C36" s="5"/>
      <c r="E36" s="7" t="s">
        <v>14</v>
      </c>
    </row>
    <row r="37" spans="2:5" ht="15.75" customHeight="1" x14ac:dyDescent="0.2">
      <c r="B37" s="4">
        <v>28</v>
      </c>
      <c r="C37" s="5"/>
    </row>
    <row r="38" spans="2:5" ht="15.75" customHeight="1" x14ac:dyDescent="0.2">
      <c r="B38" s="4">
        <v>29</v>
      </c>
      <c r="C38" s="5"/>
    </row>
    <row r="39" spans="2:5" ht="15.75" customHeight="1" x14ac:dyDescent="0.2">
      <c r="B39" s="4">
        <v>30</v>
      </c>
      <c r="C39" s="5">
        <f>C38*1.03</f>
        <v>0</v>
      </c>
    </row>
    <row r="40" spans="2:5" ht="15.75" customHeight="1" x14ac:dyDescent="0.2"/>
    <row r="41" spans="2:5" ht="15.75" customHeight="1" x14ac:dyDescent="0.2"/>
    <row r="42" spans="2:5" ht="15.75" customHeight="1" x14ac:dyDescent="0.2"/>
    <row r="43" spans="2:5" ht="15.75" customHeight="1" x14ac:dyDescent="0.2"/>
    <row r="44" spans="2:5" ht="15.75" customHeight="1" x14ac:dyDescent="0.2"/>
    <row r="45" spans="2:5" ht="15.75" customHeight="1" x14ac:dyDescent="0.2"/>
    <row r="46" spans="2:5" ht="15.75" customHeight="1" x14ac:dyDescent="0.2"/>
    <row r="47" spans="2:5" ht="15.75" customHeight="1" x14ac:dyDescent="0.2"/>
    <row r="48" spans="2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E22:E25"/>
    <mergeCell ref="E9:E13"/>
    <mergeCell ref="B4:E6"/>
    <mergeCell ref="E28:E32"/>
    <mergeCell ref="E16:E19"/>
  </mergeCells>
  <phoneticPr fontId="24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995"/>
  <sheetViews>
    <sheetView workbookViewId="0"/>
  </sheetViews>
  <sheetFormatPr baseColWidth="10" defaultColWidth="14.5" defaultRowHeight="15" customHeight="1" x14ac:dyDescent="0.2"/>
  <cols>
    <col min="1" max="1" width="2" customWidth="1"/>
    <col min="2" max="2" width="30" customWidth="1"/>
    <col min="3" max="3" width="28" customWidth="1"/>
    <col min="4" max="4" width="3" customWidth="1"/>
    <col min="5" max="5" width="42" customWidth="1"/>
    <col min="6" max="26" width="8.6640625" customWidth="1"/>
  </cols>
  <sheetData>
    <row r="2" spans="2:5" ht="23" x14ac:dyDescent="0.3">
      <c r="B2" s="8" t="s">
        <v>15</v>
      </c>
    </row>
    <row r="4" spans="2:5" ht="60" customHeight="1" x14ac:dyDescent="0.2">
      <c r="B4" s="22" t="s">
        <v>16</v>
      </c>
      <c r="C4" s="21"/>
      <c r="D4" s="21"/>
      <c r="E4" s="21"/>
    </row>
    <row r="6" spans="2:5" ht="17" x14ac:dyDescent="0.2">
      <c r="B6" s="2" t="s">
        <v>17</v>
      </c>
      <c r="C6" s="2" t="s">
        <v>18</v>
      </c>
      <c r="E6" s="3" t="s">
        <v>19</v>
      </c>
    </row>
    <row r="7" spans="2:5" ht="60.75" customHeight="1" x14ac:dyDescent="0.2">
      <c r="B7" s="9" t="s">
        <v>20</v>
      </c>
      <c r="C7" s="5"/>
      <c r="E7" s="23" t="s">
        <v>21</v>
      </c>
    </row>
    <row r="8" spans="2:5" ht="21" customHeight="1" x14ac:dyDescent="0.2">
      <c r="B8" s="9" t="s">
        <v>22</v>
      </c>
      <c r="C8" s="5"/>
      <c r="E8" s="21"/>
    </row>
    <row r="9" spans="2:5" ht="21.75" customHeight="1" x14ac:dyDescent="0.2">
      <c r="B9" s="9" t="s">
        <v>23</v>
      </c>
      <c r="C9" s="5"/>
      <c r="E9" s="21"/>
    </row>
    <row r="10" spans="2:5" ht="21.75" customHeight="1" x14ac:dyDescent="0.2"/>
    <row r="11" spans="2:5" ht="16" x14ac:dyDescent="0.2">
      <c r="E11" s="3" t="s">
        <v>24</v>
      </c>
    </row>
    <row r="12" spans="2:5" ht="48" customHeight="1" x14ac:dyDescent="0.2">
      <c r="E12" s="23" t="s">
        <v>25</v>
      </c>
    </row>
    <row r="13" spans="2:5" x14ac:dyDescent="0.2">
      <c r="E13" s="21"/>
    </row>
    <row r="14" spans="2:5" x14ac:dyDescent="0.2">
      <c r="E14" s="21"/>
    </row>
    <row r="15" spans="2:5" x14ac:dyDescent="0.2">
      <c r="E15" s="21"/>
    </row>
    <row r="16" spans="2:5" ht="15.75" customHeight="1" x14ac:dyDescent="0.2">
      <c r="E16" s="21"/>
    </row>
    <row r="17" spans="5:5" ht="15.75" customHeight="1" x14ac:dyDescent="0.2"/>
    <row r="18" spans="5:5" ht="15.75" customHeight="1" x14ac:dyDescent="0.2">
      <c r="E18" s="3" t="s">
        <v>26</v>
      </c>
    </row>
    <row r="19" spans="5:5" ht="44.25" customHeight="1" x14ac:dyDescent="0.2">
      <c r="E19" s="23" t="s">
        <v>27</v>
      </c>
    </row>
    <row r="20" spans="5:5" ht="15.75" customHeight="1" x14ac:dyDescent="0.2">
      <c r="E20" s="21"/>
    </row>
    <row r="21" spans="5:5" ht="15.75" customHeight="1" x14ac:dyDescent="0.2">
      <c r="E21" s="21"/>
    </row>
    <row r="22" spans="5:5" ht="15.75" customHeight="1" x14ac:dyDescent="0.2">
      <c r="E22" s="21"/>
    </row>
    <row r="23" spans="5:5" ht="15.75" customHeight="1" x14ac:dyDescent="0.2"/>
    <row r="24" spans="5:5" ht="15.75" customHeight="1" x14ac:dyDescent="0.2"/>
    <row r="25" spans="5:5" ht="15.75" customHeight="1" x14ac:dyDescent="0.2"/>
    <row r="26" spans="5:5" ht="15.75" customHeight="1" x14ac:dyDescent="0.2"/>
    <row r="27" spans="5:5" ht="15.75" customHeight="1" x14ac:dyDescent="0.2"/>
    <row r="28" spans="5:5" ht="15.75" customHeight="1" x14ac:dyDescent="0.2"/>
    <row r="29" spans="5:5" ht="15.75" customHeight="1" x14ac:dyDescent="0.2"/>
    <row r="30" spans="5:5" ht="15.75" customHeight="1" x14ac:dyDescent="0.2"/>
    <row r="31" spans="5:5" ht="15.75" customHeight="1" x14ac:dyDescent="0.2"/>
    <row r="32" spans="5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4">
    <mergeCell ref="B4:E4"/>
    <mergeCell ref="E12:E16"/>
    <mergeCell ref="E19:E22"/>
    <mergeCell ref="E7:E9"/>
  </mergeCells>
  <phoneticPr fontId="24"/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000"/>
  <sheetViews>
    <sheetView topLeftCell="A6" workbookViewId="0">
      <selection activeCell="E34" sqref="E34"/>
    </sheetView>
  </sheetViews>
  <sheetFormatPr baseColWidth="10" defaultColWidth="14.5" defaultRowHeight="15" customHeight="1" x14ac:dyDescent="0.2"/>
  <cols>
    <col min="1" max="1" width="2" customWidth="1"/>
    <col min="2" max="2" width="10" customWidth="1"/>
    <col min="3" max="3" width="20" customWidth="1"/>
    <col min="4" max="4" width="3" customWidth="1"/>
    <col min="5" max="5" width="42" customWidth="1"/>
    <col min="6" max="26" width="8.6640625" customWidth="1"/>
  </cols>
  <sheetData>
    <row r="2" spans="2:5" ht="20" x14ac:dyDescent="0.2">
      <c r="B2" s="1" t="s">
        <v>28</v>
      </c>
    </row>
    <row r="4" spans="2:5" ht="79.5" customHeight="1" x14ac:dyDescent="0.2">
      <c r="B4" s="22" t="s">
        <v>29</v>
      </c>
      <c r="C4" s="21"/>
      <c r="D4" s="21"/>
      <c r="E4" s="21"/>
    </row>
    <row r="5" spans="2:5" x14ac:dyDescent="0.2">
      <c r="B5" s="21"/>
      <c r="C5" s="21"/>
      <c r="D5" s="21"/>
      <c r="E5" s="21"/>
    </row>
    <row r="6" spans="2:5" x14ac:dyDescent="0.2">
      <c r="B6" s="21"/>
      <c r="C6" s="21"/>
      <c r="D6" s="21"/>
      <c r="E6" s="21"/>
    </row>
    <row r="7" spans="2:5" x14ac:dyDescent="0.2">
      <c r="B7" s="21"/>
      <c r="C7" s="21"/>
      <c r="D7" s="21"/>
      <c r="E7" s="21"/>
    </row>
    <row r="9" spans="2:5" ht="16" x14ac:dyDescent="0.2">
      <c r="B9" s="10" t="s">
        <v>30</v>
      </c>
      <c r="C9" s="10" t="s">
        <v>31</v>
      </c>
      <c r="E9" s="3" t="s">
        <v>4</v>
      </c>
    </row>
    <row r="10" spans="2:5" ht="28.5" customHeight="1" x14ac:dyDescent="0.2">
      <c r="B10" s="4">
        <v>0</v>
      </c>
      <c r="C10" s="5"/>
      <c r="E10" s="20" t="s">
        <v>32</v>
      </c>
    </row>
    <row r="11" spans="2:5" x14ac:dyDescent="0.2">
      <c r="B11" s="4">
        <v>1</v>
      </c>
      <c r="C11" s="5"/>
      <c r="E11" s="21"/>
    </row>
    <row r="12" spans="2:5" x14ac:dyDescent="0.2">
      <c r="B12" s="4">
        <v>2</v>
      </c>
      <c r="C12" s="5"/>
      <c r="E12" s="21"/>
    </row>
    <row r="13" spans="2:5" x14ac:dyDescent="0.2">
      <c r="B13" s="4">
        <v>3</v>
      </c>
      <c r="C13" s="5"/>
      <c r="E13" s="21"/>
    </row>
    <row r="14" spans="2:5" x14ac:dyDescent="0.2">
      <c r="B14" s="4">
        <v>4</v>
      </c>
      <c r="C14" s="5"/>
    </row>
    <row r="15" spans="2:5" ht="16" x14ac:dyDescent="0.2">
      <c r="B15" s="4">
        <v>5</v>
      </c>
      <c r="C15" s="5"/>
      <c r="E15" s="3" t="s">
        <v>33</v>
      </c>
    </row>
    <row r="16" spans="2:5" ht="34" customHeight="1" x14ac:dyDescent="0.2">
      <c r="B16" s="4">
        <v>6</v>
      </c>
      <c r="C16" s="5"/>
      <c r="E16" s="20" t="s">
        <v>34</v>
      </c>
    </row>
    <row r="17" spans="2:5" x14ac:dyDescent="0.2">
      <c r="B17" s="4">
        <v>7</v>
      </c>
      <c r="C17" s="5"/>
      <c r="E17" s="21"/>
    </row>
    <row r="18" spans="2:5" x14ac:dyDescent="0.2">
      <c r="B18" s="4">
        <v>8</v>
      </c>
      <c r="C18" s="5"/>
      <c r="E18" s="21"/>
    </row>
    <row r="19" spans="2:5" x14ac:dyDescent="0.2">
      <c r="B19" s="4">
        <v>9</v>
      </c>
      <c r="C19" s="5"/>
    </row>
    <row r="20" spans="2:5" ht="16" x14ac:dyDescent="0.2">
      <c r="B20" s="4">
        <v>10</v>
      </c>
      <c r="C20" s="5"/>
      <c r="E20" s="3" t="s">
        <v>35</v>
      </c>
    </row>
    <row r="21" spans="2:5" ht="19" customHeight="1" x14ac:dyDescent="0.2">
      <c r="B21" s="4">
        <v>11</v>
      </c>
      <c r="C21" s="5"/>
      <c r="E21" s="20" t="s">
        <v>36</v>
      </c>
    </row>
    <row r="22" spans="2:5" ht="15.75" customHeight="1" x14ac:dyDescent="0.2">
      <c r="B22" s="4">
        <v>12</v>
      </c>
      <c r="C22" s="5"/>
      <c r="E22" s="21"/>
    </row>
    <row r="23" spans="2:5" ht="15.75" customHeight="1" x14ac:dyDescent="0.2">
      <c r="B23" s="4">
        <v>13</v>
      </c>
      <c r="C23" s="5"/>
      <c r="E23" s="21"/>
    </row>
    <row r="24" spans="2:5" ht="15.75" customHeight="1" x14ac:dyDescent="0.2">
      <c r="B24" s="4">
        <v>14</v>
      </c>
      <c r="C24" s="5"/>
      <c r="E24" s="21"/>
    </row>
    <row r="25" spans="2:5" ht="15.75" customHeight="1" x14ac:dyDescent="0.2">
      <c r="B25" s="4">
        <v>15</v>
      </c>
      <c r="C25" s="5"/>
      <c r="E25" s="21"/>
    </row>
    <row r="26" spans="2:5" ht="15.75" customHeight="1" x14ac:dyDescent="0.2">
      <c r="B26" s="4">
        <v>16</v>
      </c>
      <c r="C26" s="5"/>
    </row>
    <row r="27" spans="2:5" ht="15.75" customHeight="1" x14ac:dyDescent="0.2">
      <c r="B27" s="4">
        <v>17</v>
      </c>
      <c r="C27" s="5"/>
      <c r="E27" s="3" t="s">
        <v>37</v>
      </c>
    </row>
    <row r="28" spans="2:5" ht="22.5" customHeight="1" x14ac:dyDescent="0.2">
      <c r="B28" s="4">
        <v>18</v>
      </c>
      <c r="C28" s="5"/>
      <c r="E28" s="23" t="s">
        <v>38</v>
      </c>
    </row>
    <row r="29" spans="2:5" ht="39" customHeight="1" x14ac:dyDescent="0.2">
      <c r="B29" s="4">
        <v>19</v>
      </c>
      <c r="C29" s="5"/>
      <c r="E29" s="21"/>
    </row>
    <row r="30" spans="2:5" ht="22.5" customHeight="1" x14ac:dyDescent="0.2">
      <c r="B30" s="4">
        <v>20</v>
      </c>
      <c r="C30" s="5"/>
      <c r="E30" s="21"/>
    </row>
    <row r="31" spans="2:5" ht="22.5" customHeight="1" x14ac:dyDescent="0.2">
      <c r="B31" s="4">
        <v>21</v>
      </c>
      <c r="C31" s="5"/>
    </row>
    <row r="32" spans="2:5" ht="22.5" customHeight="1" x14ac:dyDescent="0.2">
      <c r="B32" s="4">
        <v>22</v>
      </c>
      <c r="C32" s="5"/>
    </row>
    <row r="33" spans="2:3" ht="22.5" customHeight="1" x14ac:dyDescent="0.2">
      <c r="B33" s="4">
        <v>23</v>
      </c>
      <c r="C33" s="5"/>
    </row>
    <row r="34" spans="2:3" ht="22.5" customHeight="1" x14ac:dyDescent="0.2">
      <c r="B34" s="4">
        <v>24</v>
      </c>
      <c r="C34" s="5"/>
    </row>
    <row r="35" spans="2:3" ht="22.5" customHeight="1" x14ac:dyDescent="0.2">
      <c r="B35" s="4">
        <v>25</v>
      </c>
      <c r="C35" s="5"/>
    </row>
    <row r="36" spans="2:3" ht="22.5" customHeight="1" x14ac:dyDescent="0.2">
      <c r="B36" s="4">
        <v>26</v>
      </c>
      <c r="C36" s="5"/>
    </row>
    <row r="37" spans="2:3" ht="22.5" customHeight="1" x14ac:dyDescent="0.2">
      <c r="B37" s="4">
        <v>27</v>
      </c>
      <c r="C37" s="5"/>
    </row>
    <row r="38" spans="2:3" ht="22.5" customHeight="1" x14ac:dyDescent="0.2">
      <c r="B38" s="4">
        <v>28</v>
      </c>
      <c r="C38" s="5"/>
    </row>
    <row r="39" spans="2:3" ht="22.5" customHeight="1" x14ac:dyDescent="0.2">
      <c r="B39" s="4">
        <v>29</v>
      </c>
      <c r="C39" s="5"/>
    </row>
    <row r="40" spans="2:3" ht="22.5" customHeight="1" x14ac:dyDescent="0.2">
      <c r="B40" s="4">
        <v>30</v>
      </c>
      <c r="C40" s="5"/>
    </row>
    <row r="41" spans="2:3" ht="15.75" customHeight="1" x14ac:dyDescent="0.2"/>
    <row r="42" spans="2:3" ht="15.75" customHeight="1" x14ac:dyDescent="0.2"/>
    <row r="43" spans="2:3" ht="15.75" customHeight="1" x14ac:dyDescent="0.2"/>
    <row r="44" spans="2:3" ht="15.75" customHeight="1" x14ac:dyDescent="0.2"/>
    <row r="45" spans="2:3" ht="15.75" customHeight="1" x14ac:dyDescent="0.2"/>
    <row r="46" spans="2:3" ht="15.75" customHeight="1" x14ac:dyDescent="0.2"/>
    <row r="47" spans="2:3" ht="15.75" customHeight="1" x14ac:dyDescent="0.2"/>
    <row r="48" spans="2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E21:E25"/>
    <mergeCell ref="E16:E18"/>
    <mergeCell ref="B4:E7"/>
    <mergeCell ref="E28:E30"/>
    <mergeCell ref="E10:E13"/>
  </mergeCells>
  <phoneticPr fontId="24"/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000"/>
  <sheetViews>
    <sheetView topLeftCell="A8" workbookViewId="0">
      <selection activeCell="C29" sqref="C29"/>
    </sheetView>
  </sheetViews>
  <sheetFormatPr baseColWidth="10" defaultColWidth="14.5" defaultRowHeight="15" customHeight="1" x14ac:dyDescent="0.2"/>
  <cols>
    <col min="1" max="1" width="2" customWidth="1"/>
    <col min="2" max="2" width="10" customWidth="1"/>
    <col min="3" max="3" width="14" customWidth="1"/>
    <col min="4" max="4" width="16" customWidth="1"/>
    <col min="5" max="5" width="12" customWidth="1"/>
    <col min="6" max="6" width="3" customWidth="1"/>
    <col min="7" max="7" width="40" customWidth="1"/>
    <col min="8" max="26" width="8.6640625" customWidth="1"/>
  </cols>
  <sheetData>
    <row r="2" spans="2:7" ht="20" x14ac:dyDescent="0.2">
      <c r="B2" s="1" t="s">
        <v>39</v>
      </c>
    </row>
    <row r="4" spans="2:7" ht="32.25" customHeight="1" x14ac:dyDescent="0.2">
      <c r="B4" s="22" t="s">
        <v>40</v>
      </c>
      <c r="C4" s="21"/>
      <c r="D4" s="21"/>
      <c r="E4" s="21"/>
      <c r="F4" s="21"/>
      <c r="G4" s="21"/>
    </row>
    <row r="5" spans="2:7" x14ac:dyDescent="0.2">
      <c r="B5" s="21"/>
      <c r="C5" s="21"/>
      <c r="D5" s="21"/>
      <c r="E5" s="21"/>
      <c r="F5" s="21"/>
      <c r="G5" s="21"/>
    </row>
    <row r="6" spans="2:7" x14ac:dyDescent="0.2">
      <c r="B6" s="21"/>
      <c r="C6" s="21"/>
      <c r="D6" s="21"/>
      <c r="E6" s="21"/>
      <c r="F6" s="21"/>
      <c r="G6" s="21"/>
    </row>
    <row r="7" spans="2:7" x14ac:dyDescent="0.2">
      <c r="B7" s="21"/>
      <c r="C7" s="21"/>
      <c r="D7" s="21"/>
      <c r="E7" s="21"/>
      <c r="F7" s="21"/>
      <c r="G7" s="21"/>
    </row>
    <row r="9" spans="2:7" ht="17" x14ac:dyDescent="0.2">
      <c r="B9" s="10" t="s">
        <v>41</v>
      </c>
      <c r="C9" s="10" t="s">
        <v>42</v>
      </c>
      <c r="D9" s="10" t="s">
        <v>43</v>
      </c>
      <c r="E9" s="2" t="s">
        <v>44</v>
      </c>
      <c r="G9" s="3" t="s">
        <v>45</v>
      </c>
    </row>
    <row r="10" spans="2:7" ht="24" customHeight="1" x14ac:dyDescent="0.2">
      <c r="B10" s="4">
        <v>0</v>
      </c>
      <c r="C10" s="5"/>
      <c r="D10" s="5"/>
      <c r="E10" s="5"/>
      <c r="G10" s="20" t="s">
        <v>46</v>
      </c>
    </row>
    <row r="11" spans="2:7" ht="24" customHeight="1" x14ac:dyDescent="0.2">
      <c r="B11" s="4">
        <v>1</v>
      </c>
      <c r="C11" s="5"/>
      <c r="D11" s="5"/>
      <c r="E11" s="5"/>
      <c r="G11" s="21"/>
    </row>
    <row r="12" spans="2:7" ht="24" customHeight="1" x14ac:dyDescent="0.2">
      <c r="B12" s="4">
        <v>2</v>
      </c>
      <c r="C12" s="5"/>
      <c r="D12" s="5"/>
      <c r="E12" s="5"/>
      <c r="G12" s="21"/>
    </row>
    <row r="13" spans="2:7" ht="24" customHeight="1" x14ac:dyDescent="0.2">
      <c r="B13" s="4">
        <v>3</v>
      </c>
      <c r="C13" s="5"/>
      <c r="D13" s="5"/>
      <c r="E13" s="5"/>
      <c r="G13" s="21"/>
    </row>
    <row r="14" spans="2:7" ht="24" customHeight="1" x14ac:dyDescent="0.2">
      <c r="B14" s="4">
        <v>4</v>
      </c>
      <c r="C14" s="5"/>
      <c r="D14" s="5"/>
      <c r="E14" s="5"/>
    </row>
    <row r="15" spans="2:7" ht="24" customHeight="1" x14ac:dyDescent="0.2">
      <c r="B15" s="4">
        <v>5</v>
      </c>
      <c r="C15" s="5"/>
      <c r="D15" s="5"/>
      <c r="E15" s="5"/>
      <c r="G15" s="3" t="s">
        <v>47</v>
      </c>
    </row>
    <row r="16" spans="2:7" ht="24" customHeight="1" x14ac:dyDescent="0.2">
      <c r="B16" s="4">
        <v>6</v>
      </c>
      <c r="C16" s="5"/>
      <c r="D16" s="5"/>
      <c r="E16" s="5"/>
      <c r="G16" s="20" t="s">
        <v>48</v>
      </c>
    </row>
    <row r="17" spans="2:7" ht="24" customHeight="1" x14ac:dyDescent="0.2">
      <c r="B17" s="4">
        <v>7</v>
      </c>
      <c r="C17" s="5"/>
      <c r="D17" s="5"/>
      <c r="E17" s="5"/>
      <c r="G17" s="21"/>
    </row>
    <row r="18" spans="2:7" ht="24" customHeight="1" x14ac:dyDescent="0.2">
      <c r="B18" s="4">
        <v>8</v>
      </c>
      <c r="C18" s="5"/>
      <c r="D18" s="5"/>
      <c r="E18" s="5"/>
      <c r="G18" s="21"/>
    </row>
    <row r="19" spans="2:7" ht="24" customHeight="1" x14ac:dyDescent="0.2">
      <c r="B19" s="4">
        <v>9</v>
      </c>
      <c r="C19" s="5"/>
      <c r="D19" s="5"/>
      <c r="E19" s="5"/>
      <c r="G19" s="21"/>
    </row>
    <row r="20" spans="2:7" ht="24" customHeight="1" x14ac:dyDescent="0.2">
      <c r="B20" s="4">
        <v>10</v>
      </c>
      <c r="C20" s="5"/>
      <c r="D20" s="5"/>
      <c r="E20" s="5"/>
    </row>
    <row r="21" spans="2:7" ht="24" customHeight="1" x14ac:dyDescent="0.2">
      <c r="B21" s="4">
        <v>11</v>
      </c>
      <c r="C21" s="5"/>
      <c r="D21" s="5"/>
      <c r="E21" s="5"/>
      <c r="G21" s="3" t="s">
        <v>49</v>
      </c>
    </row>
    <row r="22" spans="2:7" ht="24" customHeight="1" x14ac:dyDescent="0.2">
      <c r="B22" s="4">
        <v>12</v>
      </c>
      <c r="C22" s="5"/>
      <c r="D22" s="5"/>
      <c r="E22" s="5"/>
      <c r="G22" s="20" t="s">
        <v>50</v>
      </c>
    </row>
    <row r="23" spans="2:7" ht="1" customHeight="1" x14ac:dyDescent="0.2">
      <c r="B23" s="4">
        <v>13</v>
      </c>
      <c r="C23" s="5"/>
      <c r="D23" s="5"/>
      <c r="E23" s="5"/>
      <c r="G23" s="21"/>
    </row>
    <row r="24" spans="2:7" ht="24" customHeight="1" x14ac:dyDescent="0.2">
      <c r="B24" s="4">
        <v>14</v>
      </c>
      <c r="C24" s="5"/>
      <c r="D24" s="5"/>
      <c r="E24" s="5"/>
      <c r="G24" s="21"/>
    </row>
    <row r="25" spans="2:7" ht="24" customHeight="1" x14ac:dyDescent="0.2">
      <c r="B25" s="4">
        <v>15</v>
      </c>
      <c r="C25" s="5"/>
      <c r="D25" s="5"/>
      <c r="E25" s="5"/>
      <c r="G25" s="21"/>
    </row>
    <row r="26" spans="2:7" ht="24" customHeight="1" x14ac:dyDescent="0.2">
      <c r="B26" s="4">
        <v>16</v>
      </c>
      <c r="C26" s="5"/>
      <c r="D26" s="5"/>
      <c r="E26" s="5"/>
      <c r="G26" s="21"/>
    </row>
    <row r="27" spans="2:7" ht="24" customHeight="1" x14ac:dyDescent="0.2">
      <c r="B27" s="4">
        <v>17</v>
      </c>
      <c r="C27" s="5"/>
      <c r="D27" s="5"/>
      <c r="E27" s="5"/>
    </row>
    <row r="28" spans="2:7" ht="24" customHeight="1" x14ac:dyDescent="0.2">
      <c r="B28" s="4">
        <v>18</v>
      </c>
      <c r="C28" s="5"/>
      <c r="D28" s="5"/>
      <c r="E28" s="5"/>
      <c r="G28" s="3" t="s">
        <v>51</v>
      </c>
    </row>
    <row r="29" spans="2:7" ht="24" customHeight="1" x14ac:dyDescent="0.2">
      <c r="B29" s="4">
        <v>19</v>
      </c>
      <c r="C29" s="5"/>
      <c r="D29" s="5"/>
      <c r="E29" s="5"/>
      <c r="G29" s="23" t="s">
        <v>52</v>
      </c>
    </row>
    <row r="30" spans="2:7" ht="15.75" customHeight="1" x14ac:dyDescent="0.2">
      <c r="B30" s="4">
        <v>20</v>
      </c>
      <c r="C30" s="5"/>
      <c r="D30" s="5"/>
      <c r="E30" s="5"/>
      <c r="G30" s="21"/>
    </row>
    <row r="31" spans="2:7" ht="15.75" customHeight="1" x14ac:dyDescent="0.2">
      <c r="G31" s="21"/>
    </row>
    <row r="32" spans="2:7" ht="15.75" customHeight="1" x14ac:dyDescent="0.2">
      <c r="G32" s="21"/>
    </row>
    <row r="33" spans="7:7" ht="15.75" customHeight="1" x14ac:dyDescent="0.2">
      <c r="G33" s="21"/>
    </row>
    <row r="34" spans="7:7" ht="15.75" customHeight="1" x14ac:dyDescent="0.2"/>
    <row r="35" spans="7:7" ht="15.75" customHeight="1" x14ac:dyDescent="0.2"/>
    <row r="36" spans="7:7" ht="15.75" customHeight="1" x14ac:dyDescent="0.2"/>
    <row r="37" spans="7:7" ht="15.75" customHeight="1" x14ac:dyDescent="0.2"/>
    <row r="38" spans="7:7" ht="15.75" customHeight="1" x14ac:dyDescent="0.2"/>
    <row r="39" spans="7:7" ht="15.75" customHeight="1" x14ac:dyDescent="0.2"/>
    <row r="40" spans="7:7" ht="15.75" customHeight="1" x14ac:dyDescent="0.2"/>
    <row r="41" spans="7:7" ht="15.75" customHeight="1" x14ac:dyDescent="0.2"/>
    <row r="42" spans="7:7" ht="15.75" customHeight="1" x14ac:dyDescent="0.2"/>
    <row r="43" spans="7:7" ht="15.75" customHeight="1" x14ac:dyDescent="0.2"/>
    <row r="44" spans="7:7" ht="15.75" customHeight="1" x14ac:dyDescent="0.2"/>
    <row r="45" spans="7:7" ht="15.75" customHeight="1" x14ac:dyDescent="0.2"/>
    <row r="46" spans="7:7" ht="15.75" customHeight="1" x14ac:dyDescent="0.2"/>
    <row r="47" spans="7:7" ht="15.75" customHeight="1" x14ac:dyDescent="0.2"/>
    <row r="48" spans="7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G10:G13"/>
    <mergeCell ref="B4:G7"/>
    <mergeCell ref="G29:G33"/>
    <mergeCell ref="G16:G19"/>
    <mergeCell ref="G22:G26"/>
  </mergeCells>
  <phoneticPr fontId="24"/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000"/>
  <sheetViews>
    <sheetView topLeftCell="A7" workbookViewId="0"/>
  </sheetViews>
  <sheetFormatPr baseColWidth="10" defaultColWidth="14.5" defaultRowHeight="15" customHeight="1" x14ac:dyDescent="0.2"/>
  <cols>
    <col min="1" max="1" width="2" customWidth="1"/>
    <col min="2" max="4" width="19.5" customWidth="1"/>
    <col min="5" max="5" width="3" customWidth="1"/>
    <col min="6" max="6" width="42" customWidth="1"/>
    <col min="7" max="26" width="8.6640625" customWidth="1"/>
  </cols>
  <sheetData>
    <row r="2" spans="2:6" ht="20" x14ac:dyDescent="0.2">
      <c r="B2" s="1" t="s">
        <v>53</v>
      </c>
    </row>
    <row r="4" spans="2:6" ht="15" customHeight="1" x14ac:dyDescent="0.2">
      <c r="B4" s="22" t="s">
        <v>54</v>
      </c>
      <c r="C4" s="21"/>
      <c r="D4" s="21"/>
      <c r="E4" s="21"/>
      <c r="F4" s="21"/>
    </row>
    <row r="5" spans="2:6" x14ac:dyDescent="0.2">
      <c r="B5" s="21"/>
      <c r="C5" s="21"/>
      <c r="D5" s="21"/>
      <c r="E5" s="21"/>
      <c r="F5" s="21"/>
    </row>
    <row r="6" spans="2:6" x14ac:dyDescent="0.2">
      <c r="B6" s="21"/>
      <c r="C6" s="21"/>
      <c r="D6" s="21"/>
      <c r="E6" s="21"/>
      <c r="F6" s="21"/>
    </row>
    <row r="7" spans="2:6" x14ac:dyDescent="0.2">
      <c r="B7" s="21"/>
      <c r="C7" s="21"/>
      <c r="D7" s="21"/>
      <c r="E7" s="21"/>
      <c r="F7" s="21"/>
    </row>
    <row r="9" spans="2:6" ht="16" x14ac:dyDescent="0.2">
      <c r="B9" s="3" t="s">
        <v>55</v>
      </c>
      <c r="F9" s="3" t="s">
        <v>56</v>
      </c>
    </row>
    <row r="10" spans="2:6" ht="21" customHeight="1" x14ac:dyDescent="0.2">
      <c r="B10" s="6" t="s">
        <v>57</v>
      </c>
      <c r="C10" s="7" t="s">
        <v>58</v>
      </c>
      <c r="F10" s="23" t="s">
        <v>59</v>
      </c>
    </row>
    <row r="11" spans="2:6" x14ac:dyDescent="0.2">
      <c r="B11" s="6" t="s">
        <v>60</v>
      </c>
      <c r="C11" s="7" t="s">
        <v>61</v>
      </c>
      <c r="F11" s="21"/>
    </row>
    <row r="12" spans="2:6" x14ac:dyDescent="0.2">
      <c r="B12" s="11" t="s">
        <v>62</v>
      </c>
      <c r="F12" s="21"/>
    </row>
    <row r="13" spans="2:6" x14ac:dyDescent="0.2">
      <c r="F13" s="21"/>
    </row>
    <row r="14" spans="2:6" x14ac:dyDescent="0.2">
      <c r="B14" s="10" t="s">
        <v>63</v>
      </c>
      <c r="C14" s="10" t="s">
        <v>64</v>
      </c>
      <c r="D14" s="10" t="s">
        <v>65</v>
      </c>
    </row>
    <row r="15" spans="2:6" ht="24" customHeight="1" x14ac:dyDescent="0.2">
      <c r="B15" s="4">
        <v>0</v>
      </c>
      <c r="C15" s="5"/>
      <c r="D15" s="5"/>
      <c r="F15" s="3" t="s">
        <v>66</v>
      </c>
    </row>
    <row r="16" spans="2:6" ht="24" customHeight="1" x14ac:dyDescent="0.2">
      <c r="B16" s="4">
        <v>50</v>
      </c>
      <c r="C16" s="5"/>
      <c r="D16" s="5"/>
      <c r="F16" s="20" t="s">
        <v>67</v>
      </c>
    </row>
    <row r="17" spans="2:6" ht="24" customHeight="1" x14ac:dyDescent="0.2">
      <c r="B17" s="4">
        <v>100</v>
      </c>
      <c r="C17" s="5"/>
      <c r="D17" s="5"/>
      <c r="F17" s="21"/>
    </row>
    <row r="18" spans="2:6" ht="24" customHeight="1" x14ac:dyDescent="0.2">
      <c r="B18" s="4">
        <v>150</v>
      </c>
      <c r="C18" s="5"/>
      <c r="D18" s="5"/>
      <c r="F18" s="21"/>
    </row>
    <row r="19" spans="2:6" ht="24" customHeight="1" x14ac:dyDescent="0.2">
      <c r="B19" s="4">
        <v>200</v>
      </c>
      <c r="C19" s="5"/>
      <c r="D19" s="5"/>
      <c r="F19" s="21"/>
    </row>
    <row r="20" spans="2:6" ht="24" customHeight="1" x14ac:dyDescent="0.2">
      <c r="B20" s="4">
        <v>250</v>
      </c>
      <c r="C20" s="5"/>
      <c r="D20" s="5"/>
    </row>
    <row r="21" spans="2:6" ht="24" customHeight="1" x14ac:dyDescent="0.2">
      <c r="B21" s="4">
        <v>300</v>
      </c>
      <c r="C21" s="5"/>
      <c r="D21" s="5"/>
      <c r="F21" s="3" t="s">
        <v>68</v>
      </c>
    </row>
    <row r="22" spans="2:6" ht="24" customHeight="1" x14ac:dyDescent="0.2">
      <c r="B22" s="4">
        <v>350</v>
      </c>
      <c r="C22" s="5"/>
      <c r="D22" s="5"/>
      <c r="F22" s="20" t="s">
        <v>69</v>
      </c>
    </row>
    <row r="23" spans="2:6" ht="24" customHeight="1" x14ac:dyDescent="0.2">
      <c r="B23" s="4">
        <v>400</v>
      </c>
      <c r="C23" s="5"/>
      <c r="D23" s="5"/>
      <c r="F23" s="21"/>
    </row>
    <row r="24" spans="2:6" ht="24" customHeight="1" x14ac:dyDescent="0.2">
      <c r="B24" s="4">
        <v>450</v>
      </c>
      <c r="C24" s="5"/>
      <c r="D24" s="5"/>
      <c r="F24" s="21"/>
    </row>
    <row r="25" spans="2:6" ht="24" customHeight="1" x14ac:dyDescent="0.2">
      <c r="B25" s="4">
        <v>500</v>
      </c>
      <c r="C25" s="5"/>
      <c r="D25" s="5"/>
      <c r="F25" s="21"/>
    </row>
    <row r="26" spans="2:6" ht="15.75" customHeight="1" x14ac:dyDescent="0.2">
      <c r="F26" s="21"/>
    </row>
    <row r="27" spans="2:6" ht="15.75" customHeight="1" x14ac:dyDescent="0.2"/>
    <row r="28" spans="2:6" ht="15.75" customHeight="1" x14ac:dyDescent="0.2">
      <c r="F28" s="3" t="s">
        <v>70</v>
      </c>
    </row>
    <row r="29" spans="2:6" ht="139.5" customHeight="1" x14ac:dyDescent="0.2">
      <c r="F29" s="23" t="s">
        <v>71</v>
      </c>
    </row>
    <row r="30" spans="2:6" ht="15.75" customHeight="1" x14ac:dyDescent="0.2">
      <c r="F30" s="21"/>
    </row>
    <row r="31" spans="2:6" ht="15.75" customHeight="1" x14ac:dyDescent="0.2">
      <c r="F31" s="21"/>
    </row>
    <row r="32" spans="2:6" ht="15.75" customHeight="1" x14ac:dyDescent="0.2">
      <c r="F32" s="21"/>
    </row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B4:F7"/>
    <mergeCell ref="F29:F32"/>
    <mergeCell ref="F16:F19"/>
    <mergeCell ref="F22:F26"/>
    <mergeCell ref="F10:F13"/>
  </mergeCells>
  <phoneticPr fontId="24"/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000"/>
  <sheetViews>
    <sheetView topLeftCell="A2" workbookViewId="0"/>
  </sheetViews>
  <sheetFormatPr baseColWidth="10" defaultColWidth="14.5" defaultRowHeight="15" customHeight="1" x14ac:dyDescent="0.2"/>
  <cols>
    <col min="1" max="1" width="2" customWidth="1"/>
    <col min="2" max="2" width="10" customWidth="1"/>
    <col min="3" max="3" width="18" customWidth="1"/>
    <col min="4" max="4" width="22" customWidth="1"/>
    <col min="5" max="5" width="3" customWidth="1"/>
    <col min="6" max="6" width="42" customWidth="1"/>
    <col min="7" max="26" width="8.6640625" customWidth="1"/>
  </cols>
  <sheetData>
    <row r="2" spans="2:6" ht="20" x14ac:dyDescent="0.2">
      <c r="B2" s="1" t="s">
        <v>72</v>
      </c>
    </row>
    <row r="4" spans="2:6" ht="35.25" customHeight="1" x14ac:dyDescent="0.2">
      <c r="B4" s="24" t="s">
        <v>73</v>
      </c>
      <c r="C4" s="21"/>
      <c r="D4" s="21"/>
      <c r="E4" s="21"/>
      <c r="F4" s="21"/>
    </row>
    <row r="5" spans="2:6" x14ac:dyDescent="0.2">
      <c r="B5" s="21"/>
      <c r="C5" s="21"/>
      <c r="D5" s="21"/>
      <c r="E5" s="21"/>
      <c r="F5" s="21"/>
    </row>
    <row r="6" spans="2:6" x14ac:dyDescent="0.2">
      <c r="B6" s="21"/>
      <c r="C6" s="21"/>
      <c r="D6" s="21"/>
      <c r="E6" s="21"/>
      <c r="F6" s="21"/>
    </row>
    <row r="8" spans="2:6" ht="17" x14ac:dyDescent="0.2">
      <c r="B8" s="2" t="s">
        <v>74</v>
      </c>
      <c r="C8" s="10" t="s">
        <v>75</v>
      </c>
      <c r="D8" s="10" t="s">
        <v>76</v>
      </c>
      <c r="F8" s="3" t="s">
        <v>77</v>
      </c>
    </row>
    <row r="9" spans="2:6" ht="46.5" customHeight="1" x14ac:dyDescent="0.2">
      <c r="B9" s="4">
        <v>1</v>
      </c>
      <c r="C9" s="4">
        <v>10000</v>
      </c>
      <c r="D9" s="4">
        <v>1</v>
      </c>
      <c r="F9" s="20" t="s">
        <v>78</v>
      </c>
    </row>
    <row r="10" spans="2:6" x14ac:dyDescent="0.2">
      <c r="B10" s="4">
        <v>2</v>
      </c>
      <c r="C10" s="5"/>
      <c r="D10" s="5"/>
      <c r="F10" s="21"/>
    </row>
    <row r="11" spans="2:6" x14ac:dyDescent="0.2">
      <c r="B11" s="4">
        <v>3</v>
      </c>
      <c r="C11" s="5"/>
      <c r="D11" s="5"/>
      <c r="F11" s="21"/>
    </row>
    <row r="12" spans="2:6" x14ac:dyDescent="0.2">
      <c r="B12" s="4">
        <v>4</v>
      </c>
      <c r="C12" s="5"/>
      <c r="D12" s="5"/>
      <c r="F12" s="21"/>
    </row>
    <row r="13" spans="2:6" x14ac:dyDescent="0.2">
      <c r="B13" s="4">
        <v>5</v>
      </c>
      <c r="C13" s="5"/>
      <c r="D13" s="5"/>
      <c r="F13" s="21"/>
    </row>
    <row r="14" spans="2:6" x14ac:dyDescent="0.2">
      <c r="B14" s="4">
        <v>6</v>
      </c>
      <c r="C14" s="5"/>
      <c r="D14" s="5"/>
    </row>
    <row r="15" spans="2:6" ht="16" x14ac:dyDescent="0.2">
      <c r="B15" s="4">
        <v>7</v>
      </c>
      <c r="C15" s="5"/>
      <c r="D15" s="5"/>
      <c r="F15" s="3" t="s">
        <v>79</v>
      </c>
    </row>
    <row r="16" spans="2:6" ht="28.5" customHeight="1" x14ac:dyDescent="0.2">
      <c r="B16" s="4">
        <v>8</v>
      </c>
      <c r="C16" s="5"/>
      <c r="D16" s="5"/>
      <c r="F16" s="20" t="s">
        <v>80</v>
      </c>
    </row>
    <row r="17" spans="2:6" x14ac:dyDescent="0.2">
      <c r="B17" s="4">
        <v>9</v>
      </c>
      <c r="C17" s="5"/>
      <c r="D17" s="5"/>
      <c r="F17" s="21"/>
    </row>
    <row r="18" spans="2:6" ht="18" customHeight="1" x14ac:dyDescent="0.2">
      <c r="B18" s="4">
        <v>10</v>
      </c>
      <c r="C18" s="5"/>
      <c r="D18" s="5"/>
      <c r="F18" s="21"/>
    </row>
    <row r="19" spans="2:6" ht="18" customHeight="1" x14ac:dyDescent="0.2">
      <c r="B19" s="4">
        <v>11</v>
      </c>
      <c r="C19" s="5"/>
      <c r="D19" s="5"/>
    </row>
    <row r="20" spans="2:6" ht="18" customHeight="1" x14ac:dyDescent="0.2">
      <c r="B20" s="4">
        <v>12</v>
      </c>
      <c r="C20" s="5"/>
      <c r="D20" s="5"/>
      <c r="F20" s="3" t="s">
        <v>81</v>
      </c>
    </row>
    <row r="21" spans="2:6" ht="46.5" customHeight="1" x14ac:dyDescent="0.2">
      <c r="B21" s="4">
        <v>13</v>
      </c>
      <c r="C21" s="5"/>
      <c r="D21" s="5"/>
      <c r="F21" s="20" t="s">
        <v>82</v>
      </c>
    </row>
    <row r="22" spans="2:6" ht="21" customHeight="1" x14ac:dyDescent="0.2">
      <c r="B22" s="4">
        <v>14</v>
      </c>
      <c r="C22" s="5"/>
      <c r="D22" s="5"/>
      <c r="F22" s="21"/>
    </row>
    <row r="23" spans="2:6" ht="21" customHeight="1" x14ac:dyDescent="0.2">
      <c r="B23" s="4">
        <v>15</v>
      </c>
      <c r="C23" s="5"/>
      <c r="D23" s="5"/>
      <c r="F23" s="21"/>
    </row>
    <row r="24" spans="2:6" ht="21" customHeight="1" x14ac:dyDescent="0.2">
      <c r="B24" s="4">
        <v>16</v>
      </c>
      <c r="C24" s="5"/>
      <c r="D24" s="5"/>
      <c r="F24" s="21"/>
    </row>
    <row r="25" spans="2:6" ht="21" customHeight="1" x14ac:dyDescent="0.2">
      <c r="B25" s="4">
        <v>17</v>
      </c>
      <c r="C25" s="5"/>
      <c r="D25" s="5"/>
      <c r="F25" s="21"/>
    </row>
    <row r="26" spans="2:6" ht="21" customHeight="1" x14ac:dyDescent="0.2">
      <c r="B26" s="4">
        <v>18</v>
      </c>
      <c r="C26" s="5"/>
      <c r="D26" s="5"/>
      <c r="F26" s="21"/>
    </row>
    <row r="27" spans="2:6" ht="15.75" customHeight="1" x14ac:dyDescent="0.2">
      <c r="B27" s="4">
        <v>19</v>
      </c>
      <c r="C27" s="5"/>
      <c r="D27" s="5"/>
    </row>
    <row r="28" spans="2:6" ht="15.75" customHeight="1" x14ac:dyDescent="0.2">
      <c r="B28" s="4">
        <v>20</v>
      </c>
      <c r="C28" s="5"/>
      <c r="D28" s="5"/>
      <c r="F28" s="3" t="s">
        <v>83</v>
      </c>
    </row>
    <row r="29" spans="2:6" ht="22.5" customHeight="1" x14ac:dyDescent="0.2">
      <c r="B29" s="4">
        <v>21</v>
      </c>
      <c r="C29" s="5"/>
      <c r="D29" s="5"/>
      <c r="F29" s="20" t="s">
        <v>84</v>
      </c>
    </row>
    <row r="30" spans="2:6" ht="15.75" customHeight="1" x14ac:dyDescent="0.2">
      <c r="B30" s="4">
        <v>22</v>
      </c>
      <c r="C30" s="5"/>
      <c r="D30" s="5"/>
      <c r="F30" s="21"/>
    </row>
    <row r="31" spans="2:6" ht="15.75" customHeight="1" x14ac:dyDescent="0.2">
      <c r="B31" s="4">
        <v>23</v>
      </c>
      <c r="C31" s="5"/>
      <c r="D31" s="5"/>
      <c r="F31" s="21"/>
    </row>
    <row r="32" spans="2:6" ht="15.75" customHeight="1" x14ac:dyDescent="0.2">
      <c r="B32" s="4">
        <v>24</v>
      </c>
      <c r="C32" s="5"/>
      <c r="D32" s="5"/>
      <c r="F32" s="21"/>
    </row>
    <row r="33" spans="2:6" ht="15.75" customHeight="1" x14ac:dyDescent="0.2">
      <c r="B33" s="4">
        <v>25</v>
      </c>
      <c r="C33" s="5"/>
      <c r="D33" s="5"/>
      <c r="F33" s="21"/>
    </row>
    <row r="34" spans="2:6" ht="15.75" customHeight="1" x14ac:dyDescent="0.2">
      <c r="B34" s="4">
        <v>26</v>
      </c>
      <c r="C34" s="5"/>
      <c r="D34" s="5"/>
    </row>
    <row r="35" spans="2:6" ht="15.75" customHeight="1" x14ac:dyDescent="0.2">
      <c r="B35" s="4">
        <v>27</v>
      </c>
      <c r="C35" s="5"/>
      <c r="D35" s="5"/>
      <c r="F35" s="3" t="s">
        <v>85</v>
      </c>
    </row>
    <row r="36" spans="2:6" ht="38.25" customHeight="1" x14ac:dyDescent="0.2">
      <c r="B36" s="4">
        <v>28</v>
      </c>
      <c r="C36" s="5"/>
      <c r="D36" s="5"/>
      <c r="F36" s="23" t="s">
        <v>86</v>
      </c>
    </row>
    <row r="37" spans="2:6" ht="15.75" customHeight="1" x14ac:dyDescent="0.2">
      <c r="B37" s="4">
        <v>29</v>
      </c>
      <c r="C37" s="5"/>
      <c r="D37" s="5"/>
      <c r="F37" s="21"/>
    </row>
    <row r="38" spans="2:6" ht="15.75" customHeight="1" x14ac:dyDescent="0.2">
      <c r="B38" s="4">
        <v>30</v>
      </c>
      <c r="C38" s="5"/>
      <c r="D38" s="5"/>
      <c r="F38" s="21"/>
    </row>
    <row r="39" spans="2:6" ht="15.75" customHeight="1" x14ac:dyDescent="0.2">
      <c r="F39" s="21"/>
    </row>
    <row r="40" spans="2:6" ht="15.75" customHeight="1" x14ac:dyDescent="0.2">
      <c r="F40" s="21"/>
    </row>
    <row r="41" spans="2:6" ht="15.75" customHeight="1" x14ac:dyDescent="0.2"/>
    <row r="42" spans="2:6" ht="15.75" customHeight="1" x14ac:dyDescent="0.2"/>
    <row r="43" spans="2:6" ht="15.75" customHeight="1" x14ac:dyDescent="0.2"/>
    <row r="44" spans="2:6" ht="15.75" customHeight="1" x14ac:dyDescent="0.2"/>
    <row r="45" spans="2:6" ht="15.75" customHeight="1" x14ac:dyDescent="0.2"/>
    <row r="46" spans="2:6" ht="15.75" customHeight="1" x14ac:dyDescent="0.2"/>
    <row r="47" spans="2:6" ht="15.75" customHeight="1" x14ac:dyDescent="0.2"/>
    <row r="48" spans="2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">
    <mergeCell ref="B4:F6"/>
    <mergeCell ref="F9:F13"/>
    <mergeCell ref="F21:F26"/>
    <mergeCell ref="F16:F18"/>
    <mergeCell ref="F36:F40"/>
    <mergeCell ref="F29:F33"/>
  </mergeCells>
  <phoneticPr fontId="24"/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H87"/>
  <sheetViews>
    <sheetView tabSelected="1" topLeftCell="A3" workbookViewId="0">
      <selection activeCell="E17" sqref="E17"/>
    </sheetView>
  </sheetViews>
  <sheetFormatPr baseColWidth="10" defaultColWidth="8.83203125" defaultRowHeight="15" x14ac:dyDescent="0.2"/>
  <cols>
    <col min="1" max="1" width="2" customWidth="1"/>
    <col min="2" max="2" width="9.5" customWidth="1"/>
    <col min="3" max="5" width="16" customWidth="1"/>
    <col min="6" max="6" width="3" customWidth="1"/>
    <col min="7" max="7" width="52" customWidth="1"/>
    <col min="8" max="8" width="3" customWidth="1"/>
  </cols>
  <sheetData>
    <row r="2" spans="2:8" ht="28" customHeight="1" x14ac:dyDescent="0.2">
      <c r="B2" s="41" t="s">
        <v>87</v>
      </c>
      <c r="C2" s="21"/>
      <c r="D2" s="21"/>
      <c r="E2" s="21"/>
      <c r="F2" s="21"/>
      <c r="G2" s="21"/>
      <c r="H2" s="21"/>
    </row>
    <row r="4" spans="2:8" ht="20" customHeight="1" x14ac:dyDescent="0.2">
      <c r="B4" s="42" t="s">
        <v>88</v>
      </c>
      <c r="C4" s="21"/>
      <c r="D4" s="21"/>
      <c r="E4" s="21"/>
      <c r="F4" s="21"/>
      <c r="G4" s="21"/>
      <c r="H4" s="21"/>
    </row>
    <row r="5" spans="2:8" ht="20" customHeight="1" x14ac:dyDescent="0.2">
      <c r="B5" s="21"/>
      <c r="C5" s="21"/>
      <c r="D5" s="21"/>
      <c r="E5" s="21"/>
      <c r="F5" s="21"/>
      <c r="G5" s="21"/>
      <c r="H5" s="21"/>
    </row>
    <row r="7" spans="2:8" ht="32" customHeight="1" x14ac:dyDescent="0.2">
      <c r="B7" s="35" t="s">
        <v>89</v>
      </c>
      <c r="C7" s="21"/>
      <c r="D7" s="21"/>
      <c r="E7" s="21"/>
      <c r="F7" s="21"/>
      <c r="G7" s="21"/>
      <c r="H7" s="21"/>
    </row>
    <row r="9" spans="2:8" ht="22" customHeight="1" x14ac:dyDescent="0.2">
      <c r="B9" s="36" t="s">
        <v>90</v>
      </c>
      <c r="C9" s="31"/>
      <c r="D9" s="31"/>
      <c r="E9" s="31"/>
      <c r="F9" s="31"/>
      <c r="G9" s="31"/>
      <c r="H9" s="26"/>
    </row>
    <row r="10" spans="2:8" ht="22" customHeight="1" x14ac:dyDescent="0.2">
      <c r="B10" s="32"/>
      <c r="C10" s="21"/>
      <c r="D10" s="21"/>
      <c r="E10" s="21"/>
      <c r="F10" s="21"/>
      <c r="G10" s="21"/>
      <c r="H10" s="33"/>
    </row>
    <row r="11" spans="2:8" ht="22" customHeight="1" x14ac:dyDescent="0.2">
      <c r="B11" s="32"/>
      <c r="C11" s="21"/>
      <c r="D11" s="21"/>
      <c r="E11" s="21"/>
      <c r="F11" s="21"/>
      <c r="G11" s="21"/>
      <c r="H11" s="33"/>
    </row>
    <row r="12" spans="2:8" ht="22" customHeight="1" x14ac:dyDescent="0.2">
      <c r="B12" s="27"/>
      <c r="C12" s="34"/>
      <c r="D12" s="34"/>
      <c r="E12" s="34"/>
      <c r="F12" s="34"/>
      <c r="G12" s="34"/>
      <c r="H12" s="28"/>
    </row>
    <row r="14" spans="2:8" ht="22" customHeight="1" x14ac:dyDescent="0.2">
      <c r="B14" s="12" t="s">
        <v>2</v>
      </c>
      <c r="C14" s="12" t="s">
        <v>91</v>
      </c>
      <c r="G14" s="29" t="s">
        <v>92</v>
      </c>
      <c r="H14" s="21"/>
    </row>
    <row r="15" spans="2:8" ht="20" customHeight="1" x14ac:dyDescent="0.2">
      <c r="B15" s="13">
        <v>0</v>
      </c>
      <c r="C15" s="13">
        <v>150000</v>
      </c>
      <c r="G15" s="25" t="s">
        <v>93</v>
      </c>
      <c r="H15" s="26"/>
    </row>
    <row r="16" spans="2:8" ht="20" customHeight="1" x14ac:dyDescent="0.2">
      <c r="B16" s="13">
        <v>1</v>
      </c>
      <c r="C16" s="14"/>
      <c r="G16" s="27"/>
      <c r="H16" s="28"/>
    </row>
    <row r="17" spans="2:8" x14ac:dyDescent="0.2">
      <c r="B17" s="13">
        <v>2</v>
      </c>
      <c r="C17" s="13"/>
    </row>
    <row r="18" spans="2:8" ht="22" customHeight="1" x14ac:dyDescent="0.2">
      <c r="B18" s="13">
        <v>3</v>
      </c>
      <c r="C18" s="13"/>
      <c r="G18" s="29" t="s">
        <v>94</v>
      </c>
      <c r="H18" s="21"/>
    </row>
    <row r="19" spans="2:8" ht="20" customHeight="1" x14ac:dyDescent="0.2">
      <c r="B19" s="13">
        <v>4</v>
      </c>
      <c r="C19" s="13"/>
      <c r="G19" s="25" t="s">
        <v>95</v>
      </c>
      <c r="H19" s="26"/>
    </row>
    <row r="20" spans="2:8" ht="20" customHeight="1" x14ac:dyDescent="0.2">
      <c r="B20" s="13">
        <v>5</v>
      </c>
      <c r="C20" s="13"/>
      <c r="G20" s="32"/>
      <c r="H20" s="33"/>
    </row>
    <row r="21" spans="2:8" ht="20" customHeight="1" x14ac:dyDescent="0.2">
      <c r="B21" s="13">
        <v>6</v>
      </c>
      <c r="C21" s="13"/>
      <c r="G21" s="32"/>
      <c r="H21" s="33"/>
    </row>
    <row r="22" spans="2:8" ht="20" customHeight="1" x14ac:dyDescent="0.2">
      <c r="B22" s="13">
        <v>7</v>
      </c>
      <c r="C22" s="13"/>
      <c r="G22" s="27"/>
      <c r="H22" s="28"/>
    </row>
    <row r="23" spans="2:8" x14ac:dyDescent="0.2">
      <c r="B23" s="13">
        <v>8</v>
      </c>
      <c r="C23" s="13"/>
    </row>
    <row r="24" spans="2:8" ht="22" customHeight="1" x14ac:dyDescent="0.2">
      <c r="B24" s="13">
        <v>9</v>
      </c>
      <c r="C24" s="13"/>
      <c r="G24" s="29" t="s">
        <v>96</v>
      </c>
      <c r="H24" s="21"/>
    </row>
    <row r="25" spans="2:8" ht="20" customHeight="1" x14ac:dyDescent="0.2">
      <c r="B25" s="13">
        <v>10</v>
      </c>
      <c r="C25" s="13"/>
      <c r="G25" s="25" t="s">
        <v>97</v>
      </c>
      <c r="H25" s="26"/>
    </row>
    <row r="26" spans="2:8" ht="20" customHeight="1" x14ac:dyDescent="0.2">
      <c r="B26" s="13">
        <v>11</v>
      </c>
      <c r="C26" s="13"/>
      <c r="G26" s="27"/>
      <c r="H26" s="28"/>
    </row>
    <row r="27" spans="2:8" x14ac:dyDescent="0.2">
      <c r="B27" s="13">
        <v>12</v>
      </c>
      <c r="C27" s="13"/>
    </row>
    <row r="28" spans="2:8" ht="22" customHeight="1" x14ac:dyDescent="0.2">
      <c r="B28" s="13">
        <v>13</v>
      </c>
      <c r="C28" s="13"/>
      <c r="G28" s="29" t="s">
        <v>98</v>
      </c>
      <c r="H28" s="21"/>
    </row>
    <row r="29" spans="2:8" ht="20" customHeight="1" x14ac:dyDescent="0.2">
      <c r="B29" s="13">
        <v>14</v>
      </c>
      <c r="C29" s="13"/>
      <c r="G29" s="25" t="s">
        <v>99</v>
      </c>
      <c r="H29" s="26"/>
    </row>
    <row r="30" spans="2:8" ht="20" customHeight="1" x14ac:dyDescent="0.2">
      <c r="B30" s="13">
        <v>15</v>
      </c>
      <c r="C30" s="13"/>
      <c r="G30" s="27"/>
      <c r="H30" s="28"/>
    </row>
    <row r="31" spans="2:8" x14ac:dyDescent="0.2">
      <c r="B31" s="13">
        <v>16</v>
      </c>
      <c r="C31" s="13"/>
    </row>
    <row r="32" spans="2:8" ht="22" customHeight="1" x14ac:dyDescent="0.2">
      <c r="B32" s="13">
        <v>17</v>
      </c>
      <c r="C32" s="13"/>
      <c r="G32" s="29" t="s">
        <v>100</v>
      </c>
      <c r="H32" s="21"/>
    </row>
    <row r="33" spans="2:8" ht="20" customHeight="1" x14ac:dyDescent="0.2">
      <c r="B33" s="13">
        <v>18</v>
      </c>
      <c r="C33" s="13"/>
      <c r="G33" s="25" t="s">
        <v>101</v>
      </c>
      <c r="H33" s="26"/>
    </row>
    <row r="34" spans="2:8" ht="20" customHeight="1" x14ac:dyDescent="0.2">
      <c r="B34" s="13">
        <v>19</v>
      </c>
      <c r="C34" s="13"/>
      <c r="G34" s="27"/>
      <c r="H34" s="28"/>
    </row>
    <row r="35" spans="2:8" x14ac:dyDescent="0.2">
      <c r="B35" s="13">
        <v>20</v>
      </c>
    </row>
    <row r="37" spans="2:8" ht="22" customHeight="1" x14ac:dyDescent="0.2">
      <c r="B37" s="40" t="s">
        <v>102</v>
      </c>
      <c r="C37" s="31"/>
      <c r="D37" s="31"/>
      <c r="E37" s="31"/>
      <c r="F37" s="31"/>
      <c r="G37" s="31"/>
      <c r="H37" s="26"/>
    </row>
    <row r="38" spans="2:8" ht="22" customHeight="1" x14ac:dyDescent="0.2">
      <c r="B38" s="27"/>
      <c r="C38" s="34"/>
      <c r="D38" s="34"/>
      <c r="E38" s="34"/>
      <c r="F38" s="34"/>
      <c r="G38" s="34"/>
      <c r="H38" s="28"/>
    </row>
    <row r="40" spans="2:8" ht="28" customHeight="1" x14ac:dyDescent="0.2">
      <c r="B40" s="15" t="s">
        <v>103</v>
      </c>
      <c r="C40" s="37"/>
      <c r="D40" s="38"/>
      <c r="E40" s="38"/>
      <c r="F40" s="39"/>
    </row>
    <row r="42" spans="2:8" ht="18" customHeight="1" x14ac:dyDescent="0.2">
      <c r="B42" s="30" t="s">
        <v>104</v>
      </c>
      <c r="C42" s="31"/>
      <c r="D42" s="31"/>
      <c r="E42" s="31"/>
      <c r="F42" s="31"/>
      <c r="G42" s="31"/>
      <c r="H42" s="26"/>
    </row>
    <row r="43" spans="2:8" ht="18" customHeight="1" x14ac:dyDescent="0.2">
      <c r="B43" s="32"/>
      <c r="C43" s="21"/>
      <c r="D43" s="21"/>
      <c r="E43" s="21"/>
      <c r="F43" s="21"/>
      <c r="G43" s="21"/>
      <c r="H43" s="33"/>
    </row>
    <row r="44" spans="2:8" ht="18" customHeight="1" x14ac:dyDescent="0.2">
      <c r="B44" s="32"/>
      <c r="C44" s="21"/>
      <c r="D44" s="21"/>
      <c r="E44" s="21"/>
      <c r="F44" s="21"/>
      <c r="G44" s="21"/>
      <c r="H44" s="33"/>
    </row>
    <row r="45" spans="2:8" ht="18" customHeight="1" x14ac:dyDescent="0.2">
      <c r="B45" s="27"/>
      <c r="C45" s="34"/>
      <c r="D45" s="34"/>
      <c r="E45" s="34"/>
      <c r="F45" s="34"/>
      <c r="G45" s="34"/>
      <c r="H45" s="28"/>
    </row>
    <row r="48" spans="2:8" ht="12" customHeight="1" x14ac:dyDescent="0.2"/>
    <row r="50" spans="2:8" ht="32" customHeight="1" x14ac:dyDescent="0.2">
      <c r="B50" s="35" t="s">
        <v>105</v>
      </c>
      <c r="C50" s="21"/>
      <c r="D50" s="21"/>
      <c r="E50" s="21"/>
      <c r="F50" s="21"/>
      <c r="G50" s="21"/>
      <c r="H50" s="21"/>
    </row>
    <row r="52" spans="2:8" ht="22" customHeight="1" x14ac:dyDescent="0.2">
      <c r="B52" s="36" t="s">
        <v>106</v>
      </c>
      <c r="C52" s="31"/>
      <c r="D52" s="31"/>
      <c r="E52" s="31"/>
      <c r="F52" s="31"/>
      <c r="G52" s="31"/>
      <c r="H52" s="26"/>
    </row>
    <row r="53" spans="2:8" ht="22" customHeight="1" x14ac:dyDescent="0.2">
      <c r="B53" s="32"/>
      <c r="C53" s="21"/>
      <c r="D53" s="21"/>
      <c r="E53" s="21"/>
      <c r="F53" s="21"/>
      <c r="G53" s="21"/>
      <c r="H53" s="33"/>
    </row>
    <row r="54" spans="2:8" ht="22" customHeight="1" x14ac:dyDescent="0.2">
      <c r="B54" s="32"/>
      <c r="C54" s="21"/>
      <c r="D54" s="21"/>
      <c r="E54" s="21"/>
      <c r="F54" s="21"/>
      <c r="G54" s="21"/>
      <c r="H54" s="33"/>
    </row>
    <row r="55" spans="2:8" ht="22" customHeight="1" x14ac:dyDescent="0.2">
      <c r="B55" s="27"/>
      <c r="C55" s="34"/>
      <c r="D55" s="34"/>
      <c r="E55" s="34"/>
      <c r="F55" s="34"/>
      <c r="G55" s="34"/>
      <c r="H55" s="28"/>
    </row>
    <row r="57" spans="2:8" ht="22" customHeight="1" x14ac:dyDescent="0.2">
      <c r="B57" s="12" t="s">
        <v>107</v>
      </c>
      <c r="C57" s="12" t="s">
        <v>108</v>
      </c>
      <c r="G57" s="29" t="s">
        <v>109</v>
      </c>
      <c r="H57" s="21"/>
    </row>
    <row r="58" spans="2:8" ht="20" customHeight="1" x14ac:dyDescent="0.2">
      <c r="B58" s="13">
        <v>0</v>
      </c>
      <c r="C58" s="14">
        <f>400*B58-60000</f>
        <v>-60000</v>
      </c>
      <c r="G58" s="25" t="s">
        <v>110</v>
      </c>
      <c r="H58" s="26"/>
    </row>
    <row r="59" spans="2:8" ht="20" customHeight="1" x14ac:dyDescent="0.2">
      <c r="B59" s="13">
        <v>10</v>
      </c>
      <c r="C59" s="13"/>
      <c r="G59" s="32"/>
      <c r="H59" s="33"/>
    </row>
    <row r="60" spans="2:8" ht="20" customHeight="1" x14ac:dyDescent="0.2">
      <c r="B60" s="13">
        <v>20</v>
      </c>
      <c r="C60" s="13"/>
      <c r="G60" s="27"/>
      <c r="H60" s="28"/>
    </row>
    <row r="61" spans="2:8" x14ac:dyDescent="0.2">
      <c r="B61" s="13">
        <v>30</v>
      </c>
      <c r="C61" s="13"/>
    </row>
    <row r="62" spans="2:8" ht="22" customHeight="1" x14ac:dyDescent="0.2">
      <c r="B62" s="13">
        <v>40</v>
      </c>
      <c r="C62" s="13"/>
      <c r="G62" s="29" t="s">
        <v>111</v>
      </c>
      <c r="H62" s="21"/>
    </row>
    <row r="63" spans="2:8" ht="20" customHeight="1" x14ac:dyDescent="0.2">
      <c r="B63" s="13">
        <v>50</v>
      </c>
      <c r="C63" s="13"/>
      <c r="G63" s="25" t="s">
        <v>112</v>
      </c>
      <c r="H63" s="26"/>
    </row>
    <row r="64" spans="2:8" ht="20" customHeight="1" x14ac:dyDescent="0.2">
      <c r="B64" s="13">
        <v>60</v>
      </c>
      <c r="C64" s="13"/>
      <c r="G64" s="27"/>
      <c r="H64" s="28"/>
    </row>
    <row r="65" spans="2:8" x14ac:dyDescent="0.2">
      <c r="B65" s="13">
        <v>70</v>
      </c>
      <c r="C65" s="13"/>
    </row>
    <row r="66" spans="2:8" ht="22" customHeight="1" x14ac:dyDescent="0.2">
      <c r="B66" s="13">
        <v>80</v>
      </c>
      <c r="C66" s="13"/>
      <c r="G66" s="29" t="s">
        <v>113</v>
      </c>
      <c r="H66" s="21"/>
    </row>
    <row r="67" spans="2:8" ht="20" customHeight="1" x14ac:dyDescent="0.2">
      <c r="B67" s="13">
        <v>90</v>
      </c>
      <c r="C67" s="13"/>
      <c r="G67" s="25" t="s">
        <v>114</v>
      </c>
      <c r="H67" s="26"/>
    </row>
    <row r="68" spans="2:8" ht="20" customHeight="1" x14ac:dyDescent="0.2">
      <c r="B68" s="13">
        <v>100</v>
      </c>
      <c r="C68" s="13"/>
      <c r="G68" s="27"/>
      <c r="H68" s="28"/>
    </row>
    <row r="69" spans="2:8" x14ac:dyDescent="0.2">
      <c r="B69" s="13">
        <v>110</v>
      </c>
      <c r="C69" s="13"/>
    </row>
    <row r="70" spans="2:8" ht="22" customHeight="1" x14ac:dyDescent="0.2">
      <c r="B70" s="13">
        <v>120</v>
      </c>
      <c r="C70" s="13"/>
      <c r="G70" s="29" t="s">
        <v>115</v>
      </c>
      <c r="H70" s="21"/>
    </row>
    <row r="71" spans="2:8" ht="20" customHeight="1" x14ac:dyDescent="0.2">
      <c r="B71" s="13">
        <v>130</v>
      </c>
      <c r="C71" s="13"/>
      <c r="G71" s="25" t="s">
        <v>116</v>
      </c>
      <c r="H71" s="26"/>
    </row>
    <row r="72" spans="2:8" ht="20" customHeight="1" x14ac:dyDescent="0.2">
      <c r="B72" s="13">
        <v>140</v>
      </c>
      <c r="C72" s="13"/>
      <c r="G72" s="27"/>
      <c r="H72" s="28"/>
    </row>
    <row r="73" spans="2:8" x14ac:dyDescent="0.2">
      <c r="B73" s="13">
        <v>150</v>
      </c>
      <c r="C73" s="13"/>
    </row>
    <row r="74" spans="2:8" ht="22" customHeight="1" x14ac:dyDescent="0.2">
      <c r="B74" s="13">
        <v>160</v>
      </c>
      <c r="C74" s="13"/>
      <c r="G74" s="29" t="s">
        <v>117</v>
      </c>
      <c r="H74" s="21"/>
    </row>
    <row r="75" spans="2:8" ht="20" customHeight="1" x14ac:dyDescent="0.2">
      <c r="B75" s="13">
        <v>170</v>
      </c>
      <c r="C75" s="13"/>
      <c r="G75" s="25" t="s">
        <v>118</v>
      </c>
      <c r="H75" s="26"/>
    </row>
    <row r="76" spans="2:8" ht="20" customHeight="1" x14ac:dyDescent="0.2">
      <c r="B76" s="13">
        <v>180</v>
      </c>
      <c r="C76" s="13"/>
      <c r="G76" s="27"/>
      <c r="H76" s="28"/>
    </row>
    <row r="77" spans="2:8" x14ac:dyDescent="0.2">
      <c r="B77" s="13">
        <v>190</v>
      </c>
      <c r="C77" s="13"/>
    </row>
    <row r="78" spans="2:8" x14ac:dyDescent="0.2">
      <c r="B78" s="13">
        <v>200</v>
      </c>
      <c r="C78" s="13"/>
    </row>
    <row r="80" spans="2:8" ht="22" customHeight="1" x14ac:dyDescent="0.2">
      <c r="B80" s="40" t="s">
        <v>119</v>
      </c>
      <c r="C80" s="31"/>
      <c r="D80" s="31"/>
      <c r="E80" s="31"/>
      <c r="F80" s="31"/>
      <c r="G80" s="31"/>
      <c r="H80" s="26"/>
    </row>
    <row r="81" spans="2:8" ht="22" customHeight="1" x14ac:dyDescent="0.2">
      <c r="B81" s="27"/>
      <c r="C81" s="34"/>
      <c r="D81" s="34"/>
      <c r="E81" s="34"/>
      <c r="F81" s="34"/>
      <c r="G81" s="34"/>
      <c r="H81" s="28"/>
    </row>
    <row r="83" spans="2:8" ht="28" customHeight="1" x14ac:dyDescent="0.2">
      <c r="B83" s="15" t="s">
        <v>103</v>
      </c>
      <c r="C83" s="37"/>
      <c r="D83" s="38"/>
      <c r="E83" s="38"/>
      <c r="F83" s="39"/>
    </row>
    <row r="85" spans="2:8" ht="18" customHeight="1" x14ac:dyDescent="0.2">
      <c r="B85" s="30" t="s">
        <v>120</v>
      </c>
      <c r="C85" s="31"/>
      <c r="D85" s="31"/>
      <c r="E85" s="31"/>
      <c r="F85" s="31"/>
      <c r="G85" s="31"/>
      <c r="H85" s="26"/>
    </row>
    <row r="86" spans="2:8" ht="18" customHeight="1" x14ac:dyDescent="0.2">
      <c r="B86" s="32"/>
      <c r="C86" s="21"/>
      <c r="D86" s="21"/>
      <c r="E86" s="21"/>
      <c r="F86" s="21"/>
      <c r="G86" s="21"/>
      <c r="H86" s="33"/>
    </row>
    <row r="87" spans="2:8" ht="18" customHeight="1" x14ac:dyDescent="0.2">
      <c r="B87" s="27"/>
      <c r="C87" s="34"/>
      <c r="D87" s="34"/>
      <c r="E87" s="34"/>
      <c r="F87" s="34"/>
      <c r="G87" s="34"/>
      <c r="H87" s="28"/>
    </row>
  </sheetData>
  <mergeCells count="32">
    <mergeCell ref="B2:H2"/>
    <mergeCell ref="G14:H14"/>
    <mergeCell ref="G67:H68"/>
    <mergeCell ref="C40:F40"/>
    <mergeCell ref="G32:H32"/>
    <mergeCell ref="B4:H5"/>
    <mergeCell ref="G19:H22"/>
    <mergeCell ref="B7:H7"/>
    <mergeCell ref="G62:H62"/>
    <mergeCell ref="G75:H76"/>
    <mergeCell ref="G18:H18"/>
    <mergeCell ref="B85:H87"/>
    <mergeCell ref="B37:H38"/>
    <mergeCell ref="G74:H74"/>
    <mergeCell ref="G71:H72"/>
    <mergeCell ref="G24:H24"/>
    <mergeCell ref="B80:H81"/>
    <mergeCell ref="B9:H12"/>
    <mergeCell ref="G58:H60"/>
    <mergeCell ref="C83:F83"/>
    <mergeCell ref="G25:H26"/>
    <mergeCell ref="G57:H57"/>
    <mergeCell ref="G28:H28"/>
    <mergeCell ref="G66:H66"/>
    <mergeCell ref="G15:H16"/>
    <mergeCell ref="G29:H30"/>
    <mergeCell ref="G63:H64"/>
    <mergeCell ref="G70:H70"/>
    <mergeCell ref="B42:H45"/>
    <mergeCell ref="G33:H34"/>
    <mergeCell ref="B50:H50"/>
    <mergeCell ref="B52:H55"/>
  </mergeCells>
  <phoneticPr fontId="24"/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H93"/>
  <sheetViews>
    <sheetView topLeftCell="A5" workbookViewId="0">
      <selection activeCell="C16" sqref="C16"/>
    </sheetView>
  </sheetViews>
  <sheetFormatPr baseColWidth="10" defaultColWidth="8.83203125" defaultRowHeight="15" x14ac:dyDescent="0.2"/>
  <cols>
    <col min="1" max="1" width="2" customWidth="1"/>
    <col min="2" max="2" width="9.5" customWidth="1"/>
    <col min="3" max="5" width="16" customWidth="1"/>
    <col min="6" max="6" width="3" customWidth="1"/>
    <col min="7" max="7" width="52" customWidth="1"/>
    <col min="8" max="8" width="3" customWidth="1"/>
  </cols>
  <sheetData>
    <row r="2" spans="2:8" ht="28" customHeight="1" x14ac:dyDescent="0.2">
      <c r="B2" s="41" t="s">
        <v>121</v>
      </c>
      <c r="C2" s="21"/>
      <c r="D2" s="21"/>
      <c r="E2" s="21"/>
      <c r="F2" s="21"/>
      <c r="G2" s="21"/>
      <c r="H2" s="21"/>
    </row>
    <row r="4" spans="2:8" ht="20" customHeight="1" x14ac:dyDescent="0.2">
      <c r="B4" s="42" t="s">
        <v>122</v>
      </c>
      <c r="C4" s="21"/>
      <c r="D4" s="21"/>
      <c r="E4" s="21"/>
      <c r="F4" s="21"/>
      <c r="G4" s="21"/>
      <c r="H4" s="21"/>
    </row>
    <row r="5" spans="2:8" ht="20" customHeight="1" x14ac:dyDescent="0.2">
      <c r="B5" s="21"/>
      <c r="C5" s="21"/>
      <c r="D5" s="21"/>
      <c r="E5" s="21"/>
      <c r="F5" s="21"/>
      <c r="G5" s="21"/>
      <c r="H5" s="21"/>
    </row>
    <row r="7" spans="2:8" ht="32" customHeight="1" x14ac:dyDescent="0.2">
      <c r="B7" s="35" t="s">
        <v>123</v>
      </c>
      <c r="C7" s="21"/>
      <c r="D7" s="21"/>
      <c r="E7" s="21"/>
      <c r="F7" s="21"/>
      <c r="G7" s="21"/>
      <c r="H7" s="21"/>
    </row>
    <row r="9" spans="2:8" ht="22" customHeight="1" x14ac:dyDescent="0.2">
      <c r="B9" s="36" t="s">
        <v>124</v>
      </c>
      <c r="C9" s="31"/>
      <c r="D9" s="31"/>
      <c r="E9" s="31"/>
      <c r="F9" s="31"/>
      <c r="G9" s="31"/>
      <c r="H9" s="26"/>
    </row>
    <row r="10" spans="2:8" ht="22" customHeight="1" x14ac:dyDescent="0.2">
      <c r="B10" s="32"/>
      <c r="C10" s="21"/>
      <c r="D10" s="21"/>
      <c r="E10" s="21"/>
      <c r="F10" s="21"/>
      <c r="G10" s="21"/>
      <c r="H10" s="33"/>
    </row>
    <row r="11" spans="2:8" ht="22" customHeight="1" x14ac:dyDescent="0.2">
      <c r="B11" s="32"/>
      <c r="C11" s="21"/>
      <c r="D11" s="21"/>
      <c r="E11" s="21"/>
      <c r="F11" s="21"/>
      <c r="G11" s="21"/>
      <c r="H11" s="33"/>
    </row>
    <row r="12" spans="2:8" ht="22" customHeight="1" x14ac:dyDescent="0.2">
      <c r="B12" s="32"/>
      <c r="C12" s="21"/>
      <c r="D12" s="21"/>
      <c r="E12" s="21"/>
      <c r="F12" s="21"/>
      <c r="G12" s="21"/>
      <c r="H12" s="33"/>
    </row>
    <row r="13" spans="2:8" ht="22" customHeight="1" x14ac:dyDescent="0.2">
      <c r="B13" s="27"/>
      <c r="C13" s="34"/>
      <c r="D13" s="34"/>
      <c r="E13" s="34"/>
      <c r="F13" s="34"/>
      <c r="G13" s="34"/>
      <c r="H13" s="28"/>
    </row>
    <row r="15" spans="2:8" ht="22" customHeight="1" x14ac:dyDescent="0.2">
      <c r="B15" s="12" t="s">
        <v>125</v>
      </c>
      <c r="C15" s="12" t="s">
        <v>126</v>
      </c>
      <c r="D15" s="12" t="s">
        <v>127</v>
      </c>
      <c r="E15" s="12" t="s">
        <v>44</v>
      </c>
      <c r="G15" s="29" t="s">
        <v>128</v>
      </c>
      <c r="H15" s="21"/>
    </row>
    <row r="16" spans="2:8" ht="20" customHeight="1" x14ac:dyDescent="0.2">
      <c r="B16" s="13">
        <v>0</v>
      </c>
      <c r="C16" s="14"/>
      <c r="D16" s="14"/>
      <c r="E16" s="14"/>
      <c r="G16" s="25" t="s">
        <v>129</v>
      </c>
      <c r="H16" s="26"/>
    </row>
    <row r="17" spans="2:8" ht="20" customHeight="1" x14ac:dyDescent="0.2">
      <c r="B17" s="13">
        <v>20</v>
      </c>
      <c r="C17" s="13"/>
      <c r="D17" s="13"/>
      <c r="E17" s="13"/>
      <c r="G17" s="32"/>
      <c r="H17" s="33"/>
    </row>
    <row r="18" spans="2:8" ht="20" customHeight="1" x14ac:dyDescent="0.2">
      <c r="B18" s="13">
        <v>40</v>
      </c>
      <c r="C18" s="13"/>
      <c r="D18" s="13"/>
      <c r="E18" s="13"/>
      <c r="G18" s="27"/>
      <c r="H18" s="28"/>
    </row>
    <row r="19" spans="2:8" x14ac:dyDescent="0.2">
      <c r="B19" s="13">
        <v>60</v>
      </c>
      <c r="C19" s="13"/>
      <c r="D19" s="13"/>
      <c r="E19" s="13"/>
    </row>
    <row r="20" spans="2:8" ht="22" customHeight="1" x14ac:dyDescent="0.2">
      <c r="B20" s="13">
        <v>80</v>
      </c>
      <c r="C20" s="13"/>
      <c r="D20" s="13"/>
      <c r="E20" s="13"/>
      <c r="G20" s="29" t="s">
        <v>130</v>
      </c>
      <c r="H20" s="21"/>
    </row>
    <row r="21" spans="2:8" ht="20" customHeight="1" x14ac:dyDescent="0.2">
      <c r="B21" s="13">
        <v>100</v>
      </c>
      <c r="C21" s="13"/>
      <c r="D21" s="13"/>
      <c r="E21" s="13"/>
      <c r="G21" s="25" t="s">
        <v>131</v>
      </c>
      <c r="H21" s="26"/>
    </row>
    <row r="22" spans="2:8" ht="20" customHeight="1" x14ac:dyDescent="0.2">
      <c r="B22" s="13">
        <v>120</v>
      </c>
      <c r="C22" s="13"/>
      <c r="D22" s="13"/>
      <c r="E22" s="13"/>
      <c r="G22" s="27"/>
      <c r="H22" s="28"/>
    </row>
    <row r="23" spans="2:8" x14ac:dyDescent="0.2">
      <c r="B23" s="13">
        <v>140</v>
      </c>
      <c r="C23" s="13"/>
      <c r="D23" s="13"/>
      <c r="E23" s="13"/>
    </row>
    <row r="24" spans="2:8" ht="22" customHeight="1" x14ac:dyDescent="0.2">
      <c r="B24" s="13">
        <v>160</v>
      </c>
      <c r="C24" s="13"/>
      <c r="D24" s="13"/>
      <c r="E24" s="13"/>
      <c r="G24" s="29" t="s">
        <v>132</v>
      </c>
      <c r="H24" s="21"/>
    </row>
    <row r="25" spans="2:8" ht="20" customHeight="1" x14ac:dyDescent="0.2">
      <c r="B25" s="13">
        <v>180</v>
      </c>
      <c r="C25" s="13"/>
      <c r="D25" s="13"/>
      <c r="E25" s="13"/>
      <c r="G25" s="25" t="s">
        <v>133</v>
      </c>
      <c r="H25" s="26"/>
    </row>
    <row r="26" spans="2:8" ht="20" customHeight="1" x14ac:dyDescent="0.2">
      <c r="B26" s="13">
        <v>200</v>
      </c>
      <c r="C26" s="13"/>
      <c r="D26" s="13"/>
      <c r="E26" s="13"/>
      <c r="G26" s="27"/>
      <c r="H26" s="28"/>
    </row>
    <row r="27" spans="2:8" x14ac:dyDescent="0.2">
      <c r="B27" s="13">
        <v>220</v>
      </c>
      <c r="C27" s="13"/>
      <c r="D27" s="13"/>
      <c r="E27" s="13"/>
    </row>
    <row r="28" spans="2:8" ht="22" customHeight="1" x14ac:dyDescent="0.2">
      <c r="B28" s="13">
        <v>240</v>
      </c>
      <c r="C28" s="13"/>
      <c r="D28" s="13"/>
      <c r="E28" s="13"/>
      <c r="G28" s="29" t="s">
        <v>134</v>
      </c>
      <c r="H28" s="21"/>
    </row>
    <row r="29" spans="2:8" ht="20" customHeight="1" x14ac:dyDescent="0.2">
      <c r="B29" s="13">
        <v>260</v>
      </c>
      <c r="C29" s="13"/>
      <c r="D29" s="13"/>
      <c r="E29" s="13"/>
      <c r="G29" s="25" t="s">
        <v>135</v>
      </c>
      <c r="H29" s="26"/>
    </row>
    <row r="30" spans="2:8" ht="20" customHeight="1" x14ac:dyDescent="0.2">
      <c r="B30" s="13">
        <v>280</v>
      </c>
      <c r="C30" s="13"/>
      <c r="D30" s="13"/>
      <c r="E30" s="13"/>
      <c r="G30" s="27"/>
      <c r="H30" s="28"/>
    </row>
    <row r="31" spans="2:8" x14ac:dyDescent="0.2">
      <c r="B31" s="13">
        <v>300</v>
      </c>
      <c r="C31" s="13"/>
      <c r="D31" s="13"/>
      <c r="E31" s="13"/>
    </row>
    <row r="32" spans="2:8" ht="22" customHeight="1" x14ac:dyDescent="0.2">
      <c r="B32" s="13">
        <v>320</v>
      </c>
      <c r="C32" s="13"/>
      <c r="D32" s="13"/>
      <c r="E32" s="13"/>
      <c r="G32" s="29" t="s">
        <v>136</v>
      </c>
      <c r="H32" s="21"/>
    </row>
    <row r="33" spans="2:8" ht="20" customHeight="1" x14ac:dyDescent="0.2">
      <c r="B33" s="13">
        <v>340</v>
      </c>
      <c r="C33" s="13"/>
      <c r="D33" s="13"/>
      <c r="E33" s="13"/>
      <c r="G33" s="25" t="s">
        <v>137</v>
      </c>
      <c r="H33" s="26"/>
    </row>
    <row r="34" spans="2:8" ht="20" customHeight="1" x14ac:dyDescent="0.2">
      <c r="B34" s="13">
        <v>360</v>
      </c>
      <c r="C34" s="13"/>
      <c r="D34" s="13"/>
      <c r="E34" s="13"/>
      <c r="G34" s="27"/>
      <c r="H34" s="28"/>
    </row>
    <row r="35" spans="2:8" x14ac:dyDescent="0.2">
      <c r="B35" s="13">
        <v>380</v>
      </c>
      <c r="C35" s="13"/>
      <c r="D35" s="13"/>
      <c r="E35" s="13"/>
    </row>
    <row r="36" spans="2:8" x14ac:dyDescent="0.2">
      <c r="B36" s="13">
        <v>400</v>
      </c>
      <c r="C36" s="13"/>
      <c r="D36" s="13"/>
      <c r="E36" s="13"/>
    </row>
    <row r="38" spans="2:8" ht="22" customHeight="1" x14ac:dyDescent="0.2">
      <c r="B38" s="40" t="s">
        <v>138</v>
      </c>
      <c r="C38" s="31"/>
      <c r="D38" s="31"/>
      <c r="E38" s="31"/>
      <c r="F38" s="31"/>
      <c r="G38" s="31"/>
      <c r="H38" s="26"/>
    </row>
    <row r="39" spans="2:8" ht="22" customHeight="1" x14ac:dyDescent="0.2">
      <c r="B39" s="32"/>
      <c r="C39" s="21"/>
      <c r="D39" s="21"/>
      <c r="E39" s="21"/>
      <c r="F39" s="21"/>
      <c r="G39" s="21"/>
      <c r="H39" s="33"/>
    </row>
    <row r="40" spans="2:8" ht="22" customHeight="1" x14ac:dyDescent="0.2">
      <c r="B40" s="27"/>
      <c r="C40" s="34"/>
      <c r="D40" s="34"/>
      <c r="E40" s="34"/>
      <c r="F40" s="34"/>
      <c r="G40" s="34"/>
      <c r="H40" s="28"/>
    </row>
    <row r="42" spans="2:8" ht="28" customHeight="1" x14ac:dyDescent="0.2">
      <c r="B42" s="15" t="s">
        <v>139</v>
      </c>
      <c r="C42" s="37"/>
      <c r="D42" s="38"/>
      <c r="E42" s="38"/>
      <c r="F42" s="39"/>
    </row>
    <row r="44" spans="2:8" ht="28" customHeight="1" x14ac:dyDescent="0.2">
      <c r="B44" s="15" t="s">
        <v>140</v>
      </c>
      <c r="C44" s="37"/>
      <c r="D44" s="38"/>
      <c r="E44" s="38"/>
      <c r="F44" s="39"/>
    </row>
    <row r="46" spans="2:8" ht="18" customHeight="1" x14ac:dyDescent="0.2">
      <c r="B46" s="30" t="s">
        <v>141</v>
      </c>
      <c r="C46" s="31"/>
      <c r="D46" s="31"/>
      <c r="E46" s="31"/>
      <c r="F46" s="31"/>
      <c r="G46" s="31"/>
      <c r="H46" s="26"/>
    </row>
    <row r="47" spans="2:8" ht="18" customHeight="1" x14ac:dyDescent="0.2">
      <c r="B47" s="32"/>
      <c r="C47" s="21"/>
      <c r="D47" s="21"/>
      <c r="E47" s="21"/>
      <c r="F47" s="21"/>
      <c r="G47" s="21"/>
      <c r="H47" s="33"/>
    </row>
    <row r="48" spans="2:8" ht="18" customHeight="1" x14ac:dyDescent="0.2">
      <c r="B48" s="32"/>
      <c r="C48" s="21"/>
      <c r="D48" s="21"/>
      <c r="E48" s="21"/>
      <c r="F48" s="21"/>
      <c r="G48" s="21"/>
      <c r="H48" s="33"/>
    </row>
    <row r="49" spans="2:8" ht="18" customHeight="1" x14ac:dyDescent="0.2">
      <c r="B49" s="27"/>
      <c r="C49" s="34"/>
      <c r="D49" s="34"/>
      <c r="E49" s="34"/>
      <c r="F49" s="34"/>
      <c r="G49" s="34"/>
      <c r="H49" s="28"/>
    </row>
    <row r="52" spans="2:8" ht="12" customHeight="1" x14ac:dyDescent="0.2"/>
    <row r="54" spans="2:8" ht="32" customHeight="1" x14ac:dyDescent="0.2">
      <c r="B54" s="35" t="s">
        <v>142</v>
      </c>
      <c r="C54" s="21"/>
      <c r="D54" s="21"/>
      <c r="E54" s="21"/>
      <c r="F54" s="21"/>
      <c r="G54" s="21"/>
      <c r="H54" s="21"/>
    </row>
    <row r="56" spans="2:8" ht="22" customHeight="1" x14ac:dyDescent="0.2">
      <c r="B56" s="36" t="s">
        <v>143</v>
      </c>
      <c r="C56" s="31"/>
      <c r="D56" s="31"/>
      <c r="E56" s="31"/>
      <c r="F56" s="31"/>
      <c r="G56" s="31"/>
      <c r="H56" s="26"/>
    </row>
    <row r="57" spans="2:8" ht="22" customHeight="1" x14ac:dyDescent="0.2">
      <c r="B57" s="32"/>
      <c r="C57" s="21"/>
      <c r="D57" s="21"/>
      <c r="E57" s="21"/>
      <c r="F57" s="21"/>
      <c r="G57" s="21"/>
      <c r="H57" s="33"/>
    </row>
    <row r="58" spans="2:8" ht="22" customHeight="1" x14ac:dyDescent="0.2">
      <c r="B58" s="32"/>
      <c r="C58" s="21"/>
      <c r="D58" s="21"/>
      <c r="E58" s="21"/>
      <c r="F58" s="21"/>
      <c r="G58" s="21"/>
      <c r="H58" s="33"/>
    </row>
    <row r="59" spans="2:8" ht="22" customHeight="1" x14ac:dyDescent="0.2">
      <c r="B59" s="32"/>
      <c r="C59" s="21"/>
      <c r="D59" s="21"/>
      <c r="E59" s="21"/>
      <c r="F59" s="21"/>
      <c r="G59" s="21"/>
      <c r="H59" s="33"/>
    </row>
    <row r="60" spans="2:8" ht="22" customHeight="1" x14ac:dyDescent="0.2">
      <c r="B60" s="32"/>
      <c r="C60" s="21"/>
      <c r="D60" s="21"/>
      <c r="E60" s="21"/>
      <c r="F60" s="21"/>
      <c r="G60" s="21"/>
      <c r="H60" s="33"/>
    </row>
    <row r="61" spans="2:8" ht="22" customHeight="1" x14ac:dyDescent="0.2">
      <c r="B61" s="27"/>
      <c r="C61" s="34"/>
      <c r="D61" s="34"/>
      <c r="E61" s="34"/>
      <c r="F61" s="34"/>
      <c r="G61" s="34"/>
      <c r="H61" s="28"/>
    </row>
    <row r="63" spans="2:8" ht="22" customHeight="1" x14ac:dyDescent="0.2">
      <c r="B63" s="12" t="s">
        <v>63</v>
      </c>
      <c r="C63" s="12" t="s">
        <v>144</v>
      </c>
      <c r="D63" s="12" t="s">
        <v>145</v>
      </c>
      <c r="G63" s="29" t="s">
        <v>146</v>
      </c>
      <c r="H63" s="21"/>
    </row>
    <row r="64" spans="2:8" ht="20" customHeight="1" x14ac:dyDescent="0.2">
      <c r="B64" s="13">
        <v>0</v>
      </c>
      <c r="C64" s="14">
        <f>500-B64</f>
        <v>500</v>
      </c>
      <c r="D64" s="14">
        <f>(3200-5*B64)/8</f>
        <v>400</v>
      </c>
      <c r="G64" s="25" t="s">
        <v>147</v>
      </c>
      <c r="H64" s="26"/>
    </row>
    <row r="65" spans="2:8" ht="20" customHeight="1" x14ac:dyDescent="0.2">
      <c r="B65" s="13">
        <v>50</v>
      </c>
      <c r="C65" s="13"/>
      <c r="D65" s="13"/>
      <c r="G65" s="27"/>
      <c r="H65" s="28"/>
    </row>
    <row r="66" spans="2:8" x14ac:dyDescent="0.2">
      <c r="B66" s="13">
        <v>100</v>
      </c>
      <c r="C66" s="13"/>
      <c r="D66" s="13"/>
    </row>
    <row r="67" spans="2:8" ht="22" customHeight="1" x14ac:dyDescent="0.2">
      <c r="B67" s="13">
        <v>150</v>
      </c>
      <c r="C67" s="13"/>
      <c r="D67" s="13"/>
      <c r="G67" s="29" t="s">
        <v>148</v>
      </c>
      <c r="H67" s="21"/>
    </row>
    <row r="68" spans="2:8" ht="20" customHeight="1" x14ac:dyDescent="0.2">
      <c r="B68" s="13">
        <v>200</v>
      </c>
      <c r="C68" s="13"/>
      <c r="D68" s="13"/>
      <c r="G68" s="25" t="s">
        <v>149</v>
      </c>
      <c r="H68" s="26"/>
    </row>
    <row r="69" spans="2:8" ht="20" customHeight="1" x14ac:dyDescent="0.2">
      <c r="B69" s="13">
        <v>250</v>
      </c>
      <c r="C69" s="13"/>
      <c r="D69" s="13"/>
      <c r="G69" s="27"/>
      <c r="H69" s="28"/>
    </row>
    <row r="70" spans="2:8" x14ac:dyDescent="0.2">
      <c r="B70" s="13">
        <v>266.67</v>
      </c>
      <c r="C70" s="13"/>
      <c r="D70" s="13"/>
    </row>
    <row r="71" spans="2:8" ht="22" customHeight="1" x14ac:dyDescent="0.2">
      <c r="B71" s="13">
        <v>300</v>
      </c>
      <c r="C71" s="13"/>
      <c r="D71" s="13"/>
      <c r="G71" s="29" t="s">
        <v>134</v>
      </c>
      <c r="H71" s="21"/>
    </row>
    <row r="72" spans="2:8" ht="20" customHeight="1" x14ac:dyDescent="0.2">
      <c r="B72" s="13">
        <v>350</v>
      </c>
      <c r="C72" s="13"/>
      <c r="D72" s="13"/>
      <c r="G72" s="25" t="s">
        <v>150</v>
      </c>
      <c r="H72" s="26"/>
    </row>
    <row r="73" spans="2:8" ht="20" customHeight="1" x14ac:dyDescent="0.2">
      <c r="B73" s="13">
        <v>400</v>
      </c>
      <c r="C73" s="13"/>
      <c r="D73" s="13"/>
      <c r="G73" s="27"/>
      <c r="H73" s="28"/>
    </row>
    <row r="74" spans="2:8" x14ac:dyDescent="0.2">
      <c r="B74" s="13">
        <v>450</v>
      </c>
      <c r="C74" s="13"/>
      <c r="D74" s="13"/>
    </row>
    <row r="75" spans="2:8" ht="22" customHeight="1" x14ac:dyDescent="0.2">
      <c r="B75" s="13">
        <v>500</v>
      </c>
      <c r="C75" s="13"/>
      <c r="D75" s="13"/>
      <c r="G75" s="29" t="s">
        <v>151</v>
      </c>
      <c r="H75" s="21"/>
    </row>
    <row r="76" spans="2:8" ht="20" customHeight="1" x14ac:dyDescent="0.2">
      <c r="G76" s="25" t="s">
        <v>152</v>
      </c>
      <c r="H76" s="26"/>
    </row>
    <row r="77" spans="2:8" ht="20" customHeight="1" x14ac:dyDescent="0.2">
      <c r="G77" s="27"/>
      <c r="H77" s="28"/>
    </row>
    <row r="79" spans="2:8" ht="22" customHeight="1" x14ac:dyDescent="0.2">
      <c r="G79" s="29" t="s">
        <v>153</v>
      </c>
      <c r="H79" s="21"/>
    </row>
    <row r="80" spans="2:8" ht="20" customHeight="1" x14ac:dyDescent="0.2">
      <c r="G80" s="25" t="s">
        <v>154</v>
      </c>
      <c r="H80" s="26"/>
    </row>
    <row r="81" spans="2:8" ht="20" customHeight="1" x14ac:dyDescent="0.2">
      <c r="G81" s="27"/>
      <c r="H81" s="28"/>
    </row>
    <row r="84" spans="2:8" ht="22" customHeight="1" x14ac:dyDescent="0.2">
      <c r="B84" s="40" t="s">
        <v>155</v>
      </c>
      <c r="C84" s="31"/>
      <c r="D84" s="31"/>
      <c r="E84" s="31"/>
      <c r="F84" s="31"/>
      <c r="G84" s="31"/>
      <c r="H84" s="26"/>
    </row>
    <row r="85" spans="2:8" ht="22" customHeight="1" x14ac:dyDescent="0.2">
      <c r="B85" s="27"/>
      <c r="C85" s="34"/>
      <c r="D85" s="34"/>
      <c r="E85" s="34"/>
      <c r="F85" s="34"/>
      <c r="G85" s="34"/>
      <c r="H85" s="28"/>
    </row>
    <row r="87" spans="2:8" ht="28" customHeight="1" x14ac:dyDescent="0.2">
      <c r="B87" s="15" t="s">
        <v>156</v>
      </c>
      <c r="C87" s="37"/>
      <c r="D87" s="38"/>
      <c r="E87" s="38"/>
      <c r="F87" s="39"/>
    </row>
    <row r="89" spans="2:8" ht="28" customHeight="1" x14ac:dyDescent="0.2">
      <c r="B89" s="15" t="s">
        <v>157</v>
      </c>
      <c r="C89" s="37"/>
      <c r="D89" s="38"/>
      <c r="E89" s="38"/>
      <c r="F89" s="39"/>
    </row>
    <row r="91" spans="2:8" ht="18" customHeight="1" x14ac:dyDescent="0.2">
      <c r="B91" s="30" t="s">
        <v>158</v>
      </c>
      <c r="C91" s="31"/>
      <c r="D91" s="31"/>
      <c r="E91" s="31"/>
      <c r="F91" s="31"/>
      <c r="G91" s="31"/>
      <c r="H91" s="26"/>
    </row>
    <row r="92" spans="2:8" ht="18" customHeight="1" x14ac:dyDescent="0.2">
      <c r="B92" s="32"/>
      <c r="C92" s="21"/>
      <c r="D92" s="21"/>
      <c r="E92" s="21"/>
      <c r="F92" s="21"/>
      <c r="G92" s="21"/>
      <c r="H92" s="33"/>
    </row>
    <row r="93" spans="2:8" ht="18" customHeight="1" x14ac:dyDescent="0.2">
      <c r="B93" s="27"/>
      <c r="C93" s="34"/>
      <c r="D93" s="34"/>
      <c r="E93" s="34"/>
      <c r="F93" s="34"/>
      <c r="G93" s="34"/>
      <c r="H93" s="28"/>
    </row>
  </sheetData>
  <mergeCells count="34">
    <mergeCell ref="B91:H93"/>
    <mergeCell ref="G24:H24"/>
    <mergeCell ref="G15:H15"/>
    <mergeCell ref="B2:H2"/>
    <mergeCell ref="G79:H79"/>
    <mergeCell ref="C44:F44"/>
    <mergeCell ref="G20:H20"/>
    <mergeCell ref="G32:H32"/>
    <mergeCell ref="G63:H63"/>
    <mergeCell ref="B4:H5"/>
    <mergeCell ref="G75:H75"/>
    <mergeCell ref="B38:H40"/>
    <mergeCell ref="B7:H7"/>
    <mergeCell ref="C42:F42"/>
    <mergeCell ref="C89:F89"/>
    <mergeCell ref="G21:H22"/>
    <mergeCell ref="B84:H85"/>
    <mergeCell ref="C87:F87"/>
    <mergeCell ref="G25:H26"/>
    <mergeCell ref="G72:H73"/>
    <mergeCell ref="B54:H54"/>
    <mergeCell ref="G28:H28"/>
    <mergeCell ref="B9:H13"/>
    <mergeCell ref="G67:H67"/>
    <mergeCell ref="G80:H81"/>
    <mergeCell ref="G76:H77"/>
    <mergeCell ref="B46:H49"/>
    <mergeCell ref="G33:H34"/>
    <mergeCell ref="B56:H61"/>
    <mergeCell ref="G16:H18"/>
    <mergeCell ref="G68:H69"/>
    <mergeCell ref="G64:H65"/>
    <mergeCell ref="G71:H71"/>
    <mergeCell ref="G29:H30"/>
  </mergeCells>
  <phoneticPr fontId="24"/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H80"/>
  <sheetViews>
    <sheetView topLeftCell="A21" workbookViewId="0">
      <selection activeCell="C28" sqref="C28"/>
    </sheetView>
  </sheetViews>
  <sheetFormatPr baseColWidth="10" defaultColWidth="8.83203125" defaultRowHeight="15" x14ac:dyDescent="0.2"/>
  <cols>
    <col min="1" max="1" width="2" customWidth="1"/>
    <col min="2" max="2" width="9.5" customWidth="1"/>
    <col min="3" max="5" width="16" customWidth="1"/>
    <col min="6" max="6" width="3" customWidth="1"/>
    <col min="7" max="7" width="52" customWidth="1"/>
    <col min="8" max="8" width="3" customWidth="1"/>
  </cols>
  <sheetData>
    <row r="2" spans="2:8" ht="28" customHeight="1" x14ac:dyDescent="0.2">
      <c r="B2" s="41" t="s">
        <v>159</v>
      </c>
      <c r="C2" s="21"/>
      <c r="D2" s="21"/>
      <c r="E2" s="21"/>
      <c r="F2" s="21"/>
      <c r="G2" s="21"/>
      <c r="H2" s="21"/>
    </row>
    <row r="4" spans="2:8" ht="20" customHeight="1" x14ac:dyDescent="0.2">
      <c r="B4" s="42" t="s">
        <v>160</v>
      </c>
      <c r="C4" s="21"/>
      <c r="D4" s="21"/>
      <c r="E4" s="21"/>
      <c r="F4" s="21"/>
      <c r="G4" s="21"/>
      <c r="H4" s="21"/>
    </row>
    <row r="5" spans="2:8" ht="20" customHeight="1" x14ac:dyDescent="0.2">
      <c r="B5" s="21"/>
      <c r="C5" s="21"/>
      <c r="D5" s="21"/>
      <c r="E5" s="21"/>
      <c r="F5" s="21"/>
      <c r="G5" s="21"/>
      <c r="H5" s="21"/>
    </row>
    <row r="7" spans="2:8" ht="32" customHeight="1" x14ac:dyDescent="0.2">
      <c r="B7" s="35" t="s">
        <v>161</v>
      </c>
      <c r="C7" s="21"/>
      <c r="D7" s="21"/>
      <c r="E7" s="21"/>
      <c r="F7" s="21"/>
      <c r="G7" s="21"/>
      <c r="H7" s="21"/>
    </row>
    <row r="9" spans="2:8" ht="22" customHeight="1" x14ac:dyDescent="0.2">
      <c r="B9" s="36" t="s">
        <v>162</v>
      </c>
      <c r="C9" s="31"/>
      <c r="D9" s="31"/>
      <c r="E9" s="31"/>
      <c r="F9" s="31"/>
      <c r="G9" s="31"/>
      <c r="H9" s="26"/>
    </row>
    <row r="10" spans="2:8" ht="22" customHeight="1" x14ac:dyDescent="0.2">
      <c r="B10" s="32"/>
      <c r="C10" s="21"/>
      <c r="D10" s="21"/>
      <c r="E10" s="21"/>
      <c r="F10" s="21"/>
      <c r="G10" s="21"/>
      <c r="H10" s="33"/>
    </row>
    <row r="11" spans="2:8" ht="22" customHeight="1" x14ac:dyDescent="0.2">
      <c r="B11" s="32"/>
      <c r="C11" s="21"/>
      <c r="D11" s="21"/>
      <c r="E11" s="21"/>
      <c r="F11" s="21"/>
      <c r="G11" s="21"/>
      <c r="H11" s="33"/>
    </row>
    <row r="12" spans="2:8" ht="22" customHeight="1" x14ac:dyDescent="0.2">
      <c r="B12" s="32"/>
      <c r="C12" s="21"/>
      <c r="D12" s="21"/>
      <c r="E12" s="21"/>
      <c r="F12" s="21"/>
      <c r="G12" s="21"/>
      <c r="H12" s="33"/>
    </row>
    <row r="13" spans="2:8" ht="22" customHeight="1" x14ac:dyDescent="0.2">
      <c r="B13" s="32"/>
      <c r="C13" s="21"/>
      <c r="D13" s="21"/>
      <c r="E13" s="21"/>
      <c r="F13" s="21"/>
      <c r="G13" s="21"/>
      <c r="H13" s="33"/>
    </row>
    <row r="14" spans="2:8" ht="22" customHeight="1" x14ac:dyDescent="0.2">
      <c r="B14" s="32"/>
      <c r="C14" s="21"/>
      <c r="D14" s="21"/>
      <c r="E14" s="21"/>
      <c r="F14" s="21"/>
      <c r="G14" s="21"/>
      <c r="H14" s="33"/>
    </row>
    <row r="15" spans="2:8" ht="22" customHeight="1" x14ac:dyDescent="0.2">
      <c r="B15" s="32"/>
      <c r="C15" s="21"/>
      <c r="D15" s="21"/>
      <c r="E15" s="21"/>
      <c r="F15" s="21"/>
      <c r="G15" s="21"/>
      <c r="H15" s="33"/>
    </row>
    <row r="16" spans="2:8" ht="22" customHeight="1" x14ac:dyDescent="0.2">
      <c r="B16" s="32"/>
      <c r="C16" s="21"/>
      <c r="D16" s="21"/>
      <c r="E16" s="21"/>
      <c r="F16" s="21"/>
      <c r="G16" s="21"/>
      <c r="H16" s="33"/>
    </row>
    <row r="17" spans="2:8" ht="22" customHeight="1" x14ac:dyDescent="0.2">
      <c r="B17" s="27"/>
      <c r="C17" s="34"/>
      <c r="D17" s="34"/>
      <c r="E17" s="34"/>
      <c r="F17" s="34"/>
      <c r="G17" s="34"/>
      <c r="H17" s="28"/>
    </row>
    <row r="19" spans="2:8" ht="22" customHeight="1" x14ac:dyDescent="0.2">
      <c r="B19" s="40" t="s">
        <v>163</v>
      </c>
      <c r="C19" s="31"/>
      <c r="D19" s="31"/>
      <c r="E19" s="31"/>
      <c r="F19" s="31"/>
      <c r="G19" s="31"/>
      <c r="H19" s="26"/>
    </row>
    <row r="20" spans="2:8" ht="22" customHeight="1" x14ac:dyDescent="0.2">
      <c r="B20" s="27"/>
      <c r="C20" s="34"/>
      <c r="D20" s="34"/>
      <c r="E20" s="34"/>
      <c r="F20" s="34"/>
      <c r="G20" s="34"/>
      <c r="H20" s="28"/>
    </row>
    <row r="22" spans="2:8" ht="28" customHeight="1" x14ac:dyDescent="0.2">
      <c r="B22" s="15" t="s">
        <v>164</v>
      </c>
      <c r="C22" s="37"/>
      <c r="D22" s="38"/>
      <c r="E22" s="38"/>
      <c r="F22" s="39"/>
    </row>
    <row r="24" spans="2:8" ht="28" customHeight="1" x14ac:dyDescent="0.2">
      <c r="B24" s="15" t="s">
        <v>165</v>
      </c>
      <c r="C24" s="37"/>
      <c r="D24" s="38"/>
      <c r="E24" s="38"/>
      <c r="F24" s="39"/>
    </row>
    <row r="26" spans="2:8" ht="22" customHeight="1" x14ac:dyDescent="0.2">
      <c r="B26" s="12" t="s">
        <v>74</v>
      </c>
      <c r="C26" s="12" t="s">
        <v>166</v>
      </c>
      <c r="D26" s="12" t="s">
        <v>167</v>
      </c>
      <c r="E26" s="12" t="s">
        <v>168</v>
      </c>
      <c r="G26" s="29" t="s">
        <v>169</v>
      </c>
      <c r="H26" s="21"/>
    </row>
    <row r="27" spans="2:8" ht="20" customHeight="1" x14ac:dyDescent="0.2">
      <c r="B27" s="13">
        <v>0</v>
      </c>
      <c r="C27" s="13">
        <v>1000</v>
      </c>
      <c r="D27" s="13">
        <v>1000</v>
      </c>
      <c r="E27" s="13"/>
      <c r="G27" s="25" t="s">
        <v>170</v>
      </c>
      <c r="H27" s="26"/>
    </row>
    <row r="28" spans="2:8" ht="20" customHeight="1" x14ac:dyDescent="0.2">
      <c r="B28" s="13">
        <v>1</v>
      </c>
      <c r="C28" s="14"/>
      <c r="D28" s="14"/>
      <c r="E28" s="14"/>
      <c r="G28" s="27"/>
      <c r="H28" s="28"/>
    </row>
    <row r="29" spans="2:8" x14ac:dyDescent="0.2">
      <c r="B29" s="13">
        <v>2</v>
      </c>
      <c r="C29" s="13"/>
      <c r="D29" s="13"/>
      <c r="E29" s="13"/>
    </row>
    <row r="30" spans="2:8" ht="22" customHeight="1" x14ac:dyDescent="0.2">
      <c r="B30" s="13">
        <v>3</v>
      </c>
      <c r="C30" s="13"/>
      <c r="D30" s="13"/>
      <c r="E30" s="13"/>
      <c r="G30" s="29" t="s">
        <v>171</v>
      </c>
      <c r="H30" s="21"/>
    </row>
    <row r="31" spans="2:8" ht="20" customHeight="1" x14ac:dyDescent="0.2">
      <c r="B31" s="13">
        <v>4</v>
      </c>
      <c r="C31" s="13"/>
      <c r="D31" s="13"/>
      <c r="E31" s="13"/>
      <c r="G31" s="25" t="s">
        <v>172</v>
      </c>
      <c r="H31" s="26"/>
    </row>
    <row r="32" spans="2:8" ht="20" customHeight="1" x14ac:dyDescent="0.2">
      <c r="B32" s="13">
        <v>5</v>
      </c>
      <c r="C32" s="13"/>
      <c r="D32" s="13"/>
      <c r="E32" s="13"/>
      <c r="G32" s="32"/>
      <c r="H32" s="33"/>
    </row>
    <row r="33" spans="2:8" ht="20" customHeight="1" x14ac:dyDescent="0.2">
      <c r="B33" s="13">
        <v>6</v>
      </c>
      <c r="C33" s="13"/>
      <c r="D33" s="13"/>
      <c r="E33" s="13"/>
      <c r="G33" s="27"/>
      <c r="H33" s="28"/>
    </row>
    <row r="34" spans="2:8" x14ac:dyDescent="0.2">
      <c r="B34" s="13">
        <v>7</v>
      </c>
      <c r="C34" s="13"/>
      <c r="D34" s="13"/>
      <c r="E34" s="13"/>
    </row>
    <row r="35" spans="2:8" ht="22" customHeight="1" x14ac:dyDescent="0.2">
      <c r="B35" s="13">
        <v>8</v>
      </c>
      <c r="C35" s="13"/>
      <c r="D35" s="13"/>
      <c r="E35" s="13"/>
      <c r="G35" s="29" t="s">
        <v>173</v>
      </c>
      <c r="H35" s="21"/>
    </row>
    <row r="36" spans="2:8" ht="20" customHeight="1" x14ac:dyDescent="0.2">
      <c r="B36" s="13">
        <v>9</v>
      </c>
      <c r="C36" s="13"/>
      <c r="D36" s="13"/>
      <c r="E36" s="13"/>
      <c r="G36" s="25" t="s">
        <v>174</v>
      </c>
      <c r="H36" s="26"/>
    </row>
    <row r="37" spans="2:8" ht="20" customHeight="1" x14ac:dyDescent="0.2">
      <c r="B37" s="13">
        <v>10</v>
      </c>
      <c r="C37" s="13"/>
      <c r="D37" s="13"/>
      <c r="E37" s="13"/>
      <c r="G37" s="27"/>
      <c r="H37" s="28"/>
    </row>
    <row r="38" spans="2:8" x14ac:dyDescent="0.2">
      <c r="B38" s="13">
        <v>11</v>
      </c>
      <c r="C38" s="13"/>
      <c r="D38" s="13"/>
      <c r="E38" s="13"/>
    </row>
    <row r="39" spans="2:8" ht="22" customHeight="1" x14ac:dyDescent="0.2">
      <c r="B39" s="13">
        <v>12</v>
      </c>
      <c r="C39" s="13"/>
      <c r="D39" s="13"/>
      <c r="E39" s="13"/>
      <c r="G39" s="29" t="s">
        <v>175</v>
      </c>
      <c r="H39" s="21"/>
    </row>
    <row r="40" spans="2:8" ht="20" customHeight="1" x14ac:dyDescent="0.2">
      <c r="B40" s="13">
        <v>13</v>
      </c>
      <c r="C40" s="13"/>
      <c r="D40" s="13"/>
      <c r="E40" s="13"/>
      <c r="G40" s="25" t="s">
        <v>176</v>
      </c>
      <c r="H40" s="26"/>
    </row>
    <row r="41" spans="2:8" ht="20" customHeight="1" x14ac:dyDescent="0.2">
      <c r="B41" s="13">
        <v>14</v>
      </c>
      <c r="C41" s="13"/>
      <c r="D41" s="13"/>
      <c r="E41" s="13"/>
      <c r="G41" s="27"/>
      <c r="H41" s="28"/>
    </row>
    <row r="42" spans="2:8" x14ac:dyDescent="0.2">
      <c r="B42" s="13">
        <v>15</v>
      </c>
      <c r="C42" s="13"/>
      <c r="D42" s="13"/>
      <c r="E42" s="13"/>
    </row>
    <row r="43" spans="2:8" ht="22" customHeight="1" x14ac:dyDescent="0.2">
      <c r="B43" s="13">
        <v>16</v>
      </c>
      <c r="C43" s="13"/>
      <c r="D43" s="13"/>
      <c r="E43" s="13"/>
      <c r="G43" s="29" t="s">
        <v>177</v>
      </c>
      <c r="H43" s="21"/>
    </row>
    <row r="44" spans="2:8" ht="20" customHeight="1" x14ac:dyDescent="0.2">
      <c r="B44" s="13">
        <v>17</v>
      </c>
      <c r="C44" s="13"/>
      <c r="D44" s="13"/>
      <c r="E44" s="13"/>
      <c r="G44" s="25" t="s">
        <v>178</v>
      </c>
      <c r="H44" s="26"/>
    </row>
    <row r="45" spans="2:8" ht="20" customHeight="1" x14ac:dyDescent="0.2">
      <c r="B45" s="13">
        <v>18</v>
      </c>
      <c r="C45" s="13"/>
      <c r="D45" s="13"/>
      <c r="E45" s="13"/>
      <c r="G45" s="27"/>
      <c r="H45" s="28"/>
    </row>
    <row r="46" spans="2:8" x14ac:dyDescent="0.2">
      <c r="B46" s="13">
        <v>19</v>
      </c>
      <c r="C46" s="13"/>
      <c r="D46" s="13"/>
      <c r="E46" s="13"/>
    </row>
    <row r="47" spans="2:8" x14ac:dyDescent="0.2">
      <c r="B47" s="13">
        <v>20</v>
      </c>
      <c r="C47" s="13"/>
      <c r="D47" s="13"/>
      <c r="E47" s="13"/>
    </row>
    <row r="48" spans="2:8" x14ac:dyDescent="0.2">
      <c r="B48" s="13">
        <v>21</v>
      </c>
      <c r="C48" s="13"/>
      <c r="D48" s="13"/>
      <c r="E48" s="13"/>
    </row>
    <row r="49" spans="2:8" x14ac:dyDescent="0.2">
      <c r="B49" s="13">
        <v>22</v>
      </c>
      <c r="C49" s="13"/>
      <c r="D49" s="13"/>
      <c r="E49" s="13"/>
    </row>
    <row r="50" spans="2:8" x14ac:dyDescent="0.2">
      <c r="B50" s="13">
        <v>23</v>
      </c>
      <c r="C50" s="13"/>
      <c r="D50" s="13"/>
      <c r="E50" s="13"/>
    </row>
    <row r="51" spans="2:8" x14ac:dyDescent="0.2">
      <c r="B51" s="13">
        <v>24</v>
      </c>
      <c r="C51" s="13"/>
      <c r="D51" s="13"/>
      <c r="E51" s="13"/>
    </row>
    <row r="52" spans="2:8" x14ac:dyDescent="0.2">
      <c r="B52" s="13">
        <v>25</v>
      </c>
      <c r="C52" s="13"/>
      <c r="D52" s="13"/>
      <c r="E52" s="13"/>
    </row>
    <row r="53" spans="2:8" x14ac:dyDescent="0.2">
      <c r="B53" s="13">
        <v>26</v>
      </c>
      <c r="C53" s="13"/>
      <c r="D53" s="13"/>
      <c r="E53" s="13"/>
    </row>
    <row r="54" spans="2:8" x14ac:dyDescent="0.2">
      <c r="B54" s="13">
        <v>27</v>
      </c>
      <c r="C54" s="13"/>
      <c r="D54" s="13"/>
      <c r="E54" s="13"/>
    </row>
    <row r="55" spans="2:8" x14ac:dyDescent="0.2">
      <c r="B55" s="13">
        <v>28</v>
      </c>
      <c r="C55" s="13"/>
      <c r="D55" s="13"/>
      <c r="E55" s="13"/>
    </row>
    <row r="56" spans="2:8" x14ac:dyDescent="0.2">
      <c r="B56" s="13">
        <v>29</v>
      </c>
      <c r="C56" s="13"/>
      <c r="D56" s="13"/>
      <c r="E56" s="13"/>
    </row>
    <row r="57" spans="2:8" x14ac:dyDescent="0.2">
      <c r="B57" s="13">
        <v>30</v>
      </c>
    </row>
    <row r="59" spans="2:8" ht="22" customHeight="1" x14ac:dyDescent="0.2">
      <c r="B59" s="40" t="s">
        <v>179</v>
      </c>
      <c r="C59" s="31"/>
      <c r="D59" s="31"/>
      <c r="E59" s="31"/>
      <c r="F59" s="31"/>
      <c r="G59" s="31"/>
      <c r="H59" s="26"/>
    </row>
    <row r="60" spans="2:8" ht="22" customHeight="1" x14ac:dyDescent="0.2">
      <c r="B60" s="27"/>
      <c r="C60" s="34"/>
      <c r="D60" s="34"/>
      <c r="E60" s="34"/>
      <c r="F60" s="34"/>
      <c r="G60" s="34"/>
      <c r="H60" s="28"/>
    </row>
    <row r="62" spans="2:8" ht="28" customHeight="1" x14ac:dyDescent="0.2">
      <c r="B62" s="15" t="s">
        <v>180</v>
      </c>
      <c r="C62" s="37"/>
      <c r="D62" s="38"/>
      <c r="E62" s="38"/>
      <c r="F62" s="39"/>
    </row>
    <row r="64" spans="2:8" ht="28" customHeight="1" x14ac:dyDescent="0.2">
      <c r="B64" s="15" t="s">
        <v>181</v>
      </c>
      <c r="C64" s="37"/>
      <c r="D64" s="38"/>
      <c r="E64" s="38"/>
      <c r="F64" s="39"/>
    </row>
    <row r="66" spans="2:8" ht="22" customHeight="1" x14ac:dyDescent="0.2">
      <c r="B66" s="40" t="s">
        <v>182</v>
      </c>
      <c r="C66" s="31"/>
      <c r="D66" s="31"/>
      <c r="E66" s="31"/>
      <c r="F66" s="31"/>
      <c r="G66" s="31"/>
      <c r="H66" s="26"/>
    </row>
    <row r="67" spans="2:8" ht="22" customHeight="1" x14ac:dyDescent="0.2">
      <c r="B67" s="32"/>
      <c r="C67" s="21"/>
      <c r="D67" s="21"/>
      <c r="E67" s="21"/>
      <c r="F67" s="21"/>
      <c r="G67" s="21"/>
      <c r="H67" s="33"/>
    </row>
    <row r="68" spans="2:8" ht="22" customHeight="1" x14ac:dyDescent="0.2">
      <c r="B68" s="27"/>
      <c r="C68" s="34"/>
      <c r="D68" s="34"/>
      <c r="E68" s="34"/>
      <c r="F68" s="34"/>
      <c r="G68" s="34"/>
      <c r="H68" s="28"/>
    </row>
    <row r="70" spans="2:8" ht="22" customHeight="1" x14ac:dyDescent="0.2">
      <c r="B70" s="43"/>
      <c r="C70" s="31"/>
      <c r="D70" s="31"/>
      <c r="E70" s="31"/>
      <c r="F70" s="31"/>
      <c r="G70" s="31"/>
      <c r="H70" s="26"/>
    </row>
    <row r="71" spans="2:8" ht="22" customHeight="1" x14ac:dyDescent="0.2">
      <c r="B71" s="32"/>
      <c r="C71" s="21"/>
      <c r="D71" s="21"/>
      <c r="E71" s="21"/>
      <c r="F71" s="21"/>
      <c r="G71" s="21"/>
      <c r="H71" s="33"/>
    </row>
    <row r="72" spans="2:8" ht="22" customHeight="1" x14ac:dyDescent="0.2">
      <c r="B72" s="32"/>
      <c r="C72" s="21"/>
      <c r="D72" s="21"/>
      <c r="E72" s="21"/>
      <c r="F72" s="21"/>
      <c r="G72" s="21"/>
      <c r="H72" s="33"/>
    </row>
    <row r="73" spans="2:8" ht="22" customHeight="1" x14ac:dyDescent="0.2">
      <c r="B73" s="27"/>
      <c r="C73" s="34"/>
      <c r="D73" s="34"/>
      <c r="E73" s="34"/>
      <c r="F73" s="34"/>
      <c r="G73" s="34"/>
      <c r="H73" s="28"/>
    </row>
    <row r="75" spans="2:8" ht="18" customHeight="1" x14ac:dyDescent="0.2">
      <c r="B75" s="30" t="s">
        <v>183</v>
      </c>
      <c r="C75" s="31"/>
      <c r="D75" s="31"/>
      <c r="E75" s="31"/>
      <c r="F75" s="31"/>
      <c r="G75" s="31"/>
      <c r="H75" s="26"/>
    </row>
    <row r="76" spans="2:8" ht="18" customHeight="1" x14ac:dyDescent="0.2">
      <c r="B76" s="32"/>
      <c r="C76" s="21"/>
      <c r="D76" s="21"/>
      <c r="E76" s="21"/>
      <c r="F76" s="21"/>
      <c r="G76" s="21"/>
      <c r="H76" s="33"/>
    </row>
    <row r="77" spans="2:8" ht="18" customHeight="1" x14ac:dyDescent="0.2">
      <c r="B77" s="32"/>
      <c r="C77" s="21"/>
      <c r="D77" s="21"/>
      <c r="E77" s="21"/>
      <c r="F77" s="21"/>
      <c r="G77" s="21"/>
      <c r="H77" s="33"/>
    </row>
    <row r="78" spans="2:8" ht="18" customHeight="1" x14ac:dyDescent="0.2">
      <c r="B78" s="32"/>
      <c r="C78" s="21"/>
      <c r="D78" s="21"/>
      <c r="E78" s="21"/>
      <c r="F78" s="21"/>
      <c r="G78" s="21"/>
      <c r="H78" s="33"/>
    </row>
    <row r="79" spans="2:8" ht="18" customHeight="1" x14ac:dyDescent="0.2">
      <c r="B79" s="32"/>
      <c r="C79" s="21"/>
      <c r="D79" s="21"/>
      <c r="E79" s="21"/>
      <c r="F79" s="21"/>
      <c r="G79" s="21"/>
      <c r="H79" s="33"/>
    </row>
    <row r="80" spans="2:8" ht="18" customHeight="1" x14ac:dyDescent="0.2">
      <c r="B80" s="27"/>
      <c r="C80" s="34"/>
      <c r="D80" s="34"/>
      <c r="E80" s="34"/>
      <c r="F80" s="34"/>
      <c r="G80" s="34"/>
      <c r="H80" s="28"/>
    </row>
  </sheetData>
  <mergeCells count="23">
    <mergeCell ref="B2:H2"/>
    <mergeCell ref="G36:H37"/>
    <mergeCell ref="G26:H26"/>
    <mergeCell ref="C22:F22"/>
    <mergeCell ref="G35:H35"/>
    <mergeCell ref="B4:H5"/>
    <mergeCell ref="G31:H33"/>
    <mergeCell ref="B7:H7"/>
    <mergeCell ref="G44:H45"/>
    <mergeCell ref="C24:F24"/>
    <mergeCell ref="B19:H20"/>
    <mergeCell ref="G27:H28"/>
    <mergeCell ref="G30:H30"/>
    <mergeCell ref="G40:H41"/>
    <mergeCell ref="G43:H43"/>
    <mergeCell ref="B75:H80"/>
    <mergeCell ref="G39:H39"/>
    <mergeCell ref="B70:H73"/>
    <mergeCell ref="B9:H17"/>
    <mergeCell ref="B66:H68"/>
    <mergeCell ref="C62:F62"/>
    <mergeCell ref="C64:F64"/>
    <mergeCell ref="B59:H60"/>
  </mergeCells>
  <phoneticPr fontId="24"/>
  <pageMargins left="0.75" right="0.75" top="1" bottom="1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H68"/>
  <sheetViews>
    <sheetView topLeftCell="E34" workbookViewId="0">
      <selection activeCell="B63" sqref="B63:H68"/>
    </sheetView>
  </sheetViews>
  <sheetFormatPr baseColWidth="10" defaultColWidth="8.83203125" defaultRowHeight="15" x14ac:dyDescent="0.2"/>
  <cols>
    <col min="1" max="1" width="2" customWidth="1"/>
    <col min="2" max="2" width="9.5" customWidth="1"/>
    <col min="3" max="5" width="16" customWidth="1"/>
    <col min="6" max="6" width="3" customWidth="1"/>
    <col min="7" max="7" width="52" customWidth="1"/>
    <col min="8" max="8" width="3" customWidth="1"/>
  </cols>
  <sheetData>
    <row r="2" spans="2:8" ht="28" customHeight="1" x14ac:dyDescent="0.2">
      <c r="B2" s="41" t="s">
        <v>184</v>
      </c>
      <c r="C2" s="21"/>
      <c r="D2" s="21"/>
      <c r="E2" s="21"/>
      <c r="F2" s="21"/>
      <c r="G2" s="21"/>
      <c r="H2" s="21"/>
    </row>
    <row r="4" spans="2:8" ht="20" customHeight="1" x14ac:dyDescent="0.2">
      <c r="B4" s="42" t="s">
        <v>185</v>
      </c>
      <c r="C4" s="21"/>
      <c r="D4" s="21"/>
      <c r="E4" s="21"/>
      <c r="F4" s="21"/>
      <c r="G4" s="21"/>
      <c r="H4" s="21"/>
    </row>
    <row r="5" spans="2:8" ht="20" customHeight="1" x14ac:dyDescent="0.2">
      <c r="B5" s="21"/>
      <c r="C5" s="21"/>
      <c r="D5" s="21"/>
      <c r="E5" s="21"/>
      <c r="F5" s="21"/>
      <c r="G5" s="21"/>
      <c r="H5" s="21"/>
    </row>
    <row r="7" spans="2:8" ht="32" customHeight="1" x14ac:dyDescent="0.2">
      <c r="B7" s="35" t="s">
        <v>186</v>
      </c>
      <c r="C7" s="21"/>
      <c r="D7" s="21"/>
      <c r="E7" s="21"/>
      <c r="F7" s="21"/>
      <c r="G7" s="21"/>
      <c r="H7" s="21"/>
    </row>
    <row r="9" spans="2:8" ht="22" customHeight="1" x14ac:dyDescent="0.2">
      <c r="B9" s="36" t="s">
        <v>187</v>
      </c>
      <c r="C9" s="31"/>
      <c r="D9" s="31"/>
      <c r="E9" s="31"/>
      <c r="F9" s="31"/>
      <c r="G9" s="31"/>
      <c r="H9" s="26"/>
    </row>
    <row r="10" spans="2:8" ht="22" customHeight="1" x14ac:dyDescent="0.2">
      <c r="B10" s="32"/>
      <c r="C10" s="21"/>
      <c r="D10" s="21"/>
      <c r="E10" s="21"/>
      <c r="F10" s="21"/>
      <c r="G10" s="21"/>
      <c r="H10" s="33"/>
    </row>
    <row r="11" spans="2:8" ht="22" customHeight="1" x14ac:dyDescent="0.2">
      <c r="B11" s="32"/>
      <c r="C11" s="21"/>
      <c r="D11" s="21"/>
      <c r="E11" s="21"/>
      <c r="F11" s="21"/>
      <c r="G11" s="21"/>
      <c r="H11" s="33"/>
    </row>
    <row r="12" spans="2:8" ht="22" customHeight="1" x14ac:dyDescent="0.2">
      <c r="B12" s="32"/>
      <c r="C12" s="21"/>
      <c r="D12" s="21"/>
      <c r="E12" s="21"/>
      <c r="F12" s="21"/>
      <c r="G12" s="21"/>
      <c r="H12" s="33"/>
    </row>
    <row r="13" spans="2:8" ht="22" customHeight="1" x14ac:dyDescent="0.2">
      <c r="B13" s="32"/>
      <c r="C13" s="21"/>
      <c r="D13" s="21"/>
      <c r="E13" s="21"/>
      <c r="F13" s="21"/>
      <c r="G13" s="21"/>
      <c r="H13" s="33"/>
    </row>
    <row r="14" spans="2:8" ht="22" customHeight="1" x14ac:dyDescent="0.2">
      <c r="B14" s="32"/>
      <c r="C14" s="21"/>
      <c r="D14" s="21"/>
      <c r="E14" s="21"/>
      <c r="F14" s="21"/>
      <c r="G14" s="21"/>
      <c r="H14" s="33"/>
    </row>
    <row r="15" spans="2:8" ht="22" customHeight="1" x14ac:dyDescent="0.2">
      <c r="B15" s="27"/>
      <c r="C15" s="34"/>
      <c r="D15" s="34"/>
      <c r="E15" s="34"/>
      <c r="F15" s="34"/>
      <c r="G15" s="34"/>
      <c r="H15" s="28"/>
    </row>
    <row r="17" spans="2:8" ht="30" customHeight="1" x14ac:dyDescent="0.2">
      <c r="B17" s="16" t="s">
        <v>188</v>
      </c>
      <c r="C17" s="44">
        <v>100000</v>
      </c>
      <c r="D17" s="39"/>
      <c r="E17" s="18" t="s">
        <v>189</v>
      </c>
      <c r="F17" s="16" t="s">
        <v>190</v>
      </c>
      <c r="G17" s="17">
        <v>0.05</v>
      </c>
    </row>
    <row r="19" spans="2:8" ht="30" customHeight="1" x14ac:dyDescent="0.2">
      <c r="B19" s="15" t="s">
        <v>191</v>
      </c>
      <c r="C19" s="45">
        <f>E45</f>
        <v>0</v>
      </c>
      <c r="D19" s="39"/>
      <c r="E19" s="18" t="s">
        <v>189</v>
      </c>
    </row>
    <row r="21" spans="2:8" ht="22" customHeight="1" x14ac:dyDescent="0.2">
      <c r="B21" s="12" t="s">
        <v>192</v>
      </c>
      <c r="C21" s="12" t="s">
        <v>193</v>
      </c>
      <c r="D21" s="12" t="s">
        <v>194</v>
      </c>
      <c r="E21" s="12" t="s">
        <v>195</v>
      </c>
      <c r="G21" s="29" t="s">
        <v>196</v>
      </c>
      <c r="H21" s="21"/>
    </row>
    <row r="22" spans="2:8" ht="20" customHeight="1" x14ac:dyDescent="0.2">
      <c r="B22" s="13">
        <v>1</v>
      </c>
      <c r="C22" s="13">
        <f>$C$17</f>
        <v>100000</v>
      </c>
      <c r="D22" s="14"/>
      <c r="E22" s="14"/>
      <c r="G22" s="25" t="s">
        <v>197</v>
      </c>
      <c r="H22" s="26"/>
    </row>
    <row r="23" spans="2:8" ht="20" customHeight="1" x14ac:dyDescent="0.2">
      <c r="B23" s="13">
        <v>2</v>
      </c>
      <c r="C23" s="14"/>
      <c r="D23" s="14"/>
      <c r="E23" s="14"/>
      <c r="G23" s="27"/>
      <c r="H23" s="28"/>
    </row>
    <row r="24" spans="2:8" x14ac:dyDescent="0.2">
      <c r="B24" s="13">
        <v>3</v>
      </c>
      <c r="C24" s="14"/>
      <c r="D24" s="14"/>
      <c r="E24" s="14"/>
    </row>
    <row r="25" spans="2:8" ht="22" customHeight="1" x14ac:dyDescent="0.2">
      <c r="B25" s="13">
        <v>4</v>
      </c>
      <c r="C25" s="14"/>
      <c r="D25" s="14"/>
      <c r="E25" s="14"/>
      <c r="G25" s="29" t="s">
        <v>198</v>
      </c>
      <c r="H25" s="21"/>
    </row>
    <row r="26" spans="2:8" ht="20" customHeight="1" x14ac:dyDescent="0.2">
      <c r="B26" s="13">
        <v>5</v>
      </c>
      <c r="C26" s="14"/>
      <c r="D26" s="14"/>
      <c r="E26" s="14"/>
      <c r="G26" s="25" t="s">
        <v>199</v>
      </c>
      <c r="H26" s="26"/>
    </row>
    <row r="27" spans="2:8" ht="20" customHeight="1" x14ac:dyDescent="0.2">
      <c r="B27" s="13">
        <v>6</v>
      </c>
      <c r="C27" s="14"/>
      <c r="D27" s="14"/>
      <c r="E27" s="14"/>
      <c r="G27" s="32"/>
      <c r="H27" s="33"/>
    </row>
    <row r="28" spans="2:8" ht="20" customHeight="1" x14ac:dyDescent="0.2">
      <c r="B28" s="13">
        <v>7</v>
      </c>
      <c r="C28" s="14"/>
      <c r="D28" s="14"/>
      <c r="E28" s="14"/>
      <c r="G28" s="32"/>
      <c r="H28" s="33"/>
    </row>
    <row r="29" spans="2:8" ht="20" customHeight="1" x14ac:dyDescent="0.2">
      <c r="B29" s="13">
        <v>8</v>
      </c>
      <c r="C29" s="14"/>
      <c r="D29" s="14"/>
      <c r="E29" s="14"/>
      <c r="G29" s="27"/>
      <c r="H29" s="28"/>
    </row>
    <row r="30" spans="2:8" x14ac:dyDescent="0.2">
      <c r="B30" s="13">
        <v>9</v>
      </c>
      <c r="C30" s="14"/>
      <c r="D30" s="14"/>
      <c r="E30" s="14"/>
    </row>
    <row r="31" spans="2:8" ht="22" customHeight="1" x14ac:dyDescent="0.2">
      <c r="B31" s="13">
        <v>10</v>
      </c>
      <c r="C31" s="14"/>
      <c r="D31" s="14"/>
      <c r="E31" s="14"/>
      <c r="G31" s="29" t="s">
        <v>200</v>
      </c>
      <c r="H31" s="21"/>
    </row>
    <row r="32" spans="2:8" ht="20" customHeight="1" x14ac:dyDescent="0.2">
      <c r="B32" s="13">
        <v>11</v>
      </c>
      <c r="C32" s="14"/>
      <c r="D32" s="14"/>
      <c r="E32" s="14"/>
      <c r="G32" s="25" t="s">
        <v>201</v>
      </c>
      <c r="H32" s="26"/>
    </row>
    <row r="33" spans="2:8" ht="20" customHeight="1" x14ac:dyDescent="0.2">
      <c r="B33" s="13">
        <v>12</v>
      </c>
      <c r="C33" s="14"/>
      <c r="D33" s="14"/>
      <c r="E33" s="14"/>
      <c r="G33" s="27"/>
      <c r="H33" s="28"/>
    </row>
    <row r="34" spans="2:8" x14ac:dyDescent="0.2">
      <c r="B34" s="13">
        <v>13</v>
      </c>
      <c r="C34" s="14"/>
      <c r="D34" s="14"/>
      <c r="E34" s="14"/>
    </row>
    <row r="35" spans="2:8" ht="22" customHeight="1" x14ac:dyDescent="0.2">
      <c r="B35" s="13">
        <v>14</v>
      </c>
      <c r="C35" s="14"/>
      <c r="D35" s="14"/>
      <c r="E35" s="14"/>
      <c r="G35" s="29" t="s">
        <v>202</v>
      </c>
      <c r="H35" s="21"/>
    </row>
    <row r="36" spans="2:8" ht="20" customHeight="1" x14ac:dyDescent="0.2">
      <c r="B36" s="13">
        <v>15</v>
      </c>
      <c r="C36" s="14"/>
      <c r="D36" s="14"/>
      <c r="E36" s="14"/>
      <c r="G36" s="25" t="s">
        <v>203</v>
      </c>
      <c r="H36" s="26"/>
    </row>
    <row r="37" spans="2:8" ht="20" customHeight="1" x14ac:dyDescent="0.2">
      <c r="B37" s="13">
        <v>16</v>
      </c>
      <c r="C37" s="14"/>
      <c r="D37" s="14"/>
      <c r="E37" s="14"/>
      <c r="G37" s="27"/>
      <c r="H37" s="28"/>
    </row>
    <row r="38" spans="2:8" x14ac:dyDescent="0.2">
      <c r="B38" s="13">
        <v>17</v>
      </c>
      <c r="C38" s="14"/>
      <c r="D38" s="14"/>
      <c r="E38" s="14"/>
    </row>
    <row r="39" spans="2:8" ht="22" customHeight="1" x14ac:dyDescent="0.2">
      <c r="B39" s="13">
        <v>18</v>
      </c>
      <c r="C39" s="14"/>
      <c r="D39" s="14"/>
      <c r="E39" s="14"/>
      <c r="G39" s="29" t="s">
        <v>204</v>
      </c>
      <c r="H39" s="21"/>
    </row>
    <row r="40" spans="2:8" ht="20" customHeight="1" x14ac:dyDescent="0.2">
      <c r="B40" s="13">
        <v>19</v>
      </c>
      <c r="C40" s="14"/>
      <c r="D40" s="14"/>
      <c r="E40" s="14"/>
      <c r="G40" s="25" t="s">
        <v>205</v>
      </c>
      <c r="H40" s="26"/>
    </row>
    <row r="41" spans="2:8" ht="20" customHeight="1" x14ac:dyDescent="0.2">
      <c r="B41" s="13">
        <v>20</v>
      </c>
      <c r="C41" s="14"/>
      <c r="D41" s="14"/>
      <c r="E41" s="14"/>
      <c r="G41" s="32"/>
      <c r="H41" s="33"/>
    </row>
    <row r="42" spans="2:8" ht="20" customHeight="1" x14ac:dyDescent="0.2">
      <c r="B42" s="13">
        <v>21</v>
      </c>
      <c r="C42" s="14"/>
      <c r="D42" s="14"/>
      <c r="E42" s="14"/>
      <c r="G42" s="27"/>
      <c r="H42" s="28"/>
    </row>
    <row r="43" spans="2:8" x14ac:dyDescent="0.2">
      <c r="B43" s="13">
        <v>22</v>
      </c>
      <c r="C43" s="14"/>
      <c r="D43" s="14"/>
      <c r="E43" s="14"/>
    </row>
    <row r="44" spans="2:8" ht="22" customHeight="1" x14ac:dyDescent="0.2">
      <c r="B44" s="13">
        <v>23</v>
      </c>
      <c r="C44" s="14"/>
      <c r="D44" s="14"/>
      <c r="E44" s="14"/>
      <c r="G44" s="29" t="s">
        <v>206</v>
      </c>
      <c r="H44" s="21"/>
    </row>
    <row r="45" spans="2:8" ht="20" customHeight="1" x14ac:dyDescent="0.2">
      <c r="B45" s="13">
        <v>24</v>
      </c>
      <c r="C45" s="14"/>
      <c r="D45" s="14"/>
      <c r="E45" s="14"/>
      <c r="G45" s="25" t="s">
        <v>207</v>
      </c>
      <c r="H45" s="26"/>
    </row>
    <row r="46" spans="2:8" ht="20" customHeight="1" x14ac:dyDescent="0.2">
      <c r="G46" s="27"/>
      <c r="H46" s="28"/>
    </row>
    <row r="49" spans="2:8" ht="22" customHeight="1" x14ac:dyDescent="0.2">
      <c r="B49" s="40" t="s">
        <v>208</v>
      </c>
      <c r="C49" s="31"/>
      <c r="D49" s="31"/>
      <c r="E49" s="31"/>
      <c r="F49" s="31"/>
      <c r="G49" s="31"/>
      <c r="H49" s="26"/>
    </row>
    <row r="50" spans="2:8" ht="22" customHeight="1" x14ac:dyDescent="0.2">
      <c r="B50" s="32"/>
      <c r="C50" s="21"/>
      <c r="D50" s="21"/>
      <c r="E50" s="21"/>
      <c r="F50" s="21"/>
      <c r="G50" s="21"/>
      <c r="H50" s="33"/>
    </row>
    <row r="51" spans="2:8" ht="22" customHeight="1" x14ac:dyDescent="0.2">
      <c r="B51" s="32"/>
      <c r="C51" s="21"/>
      <c r="D51" s="21"/>
      <c r="E51" s="21"/>
      <c r="F51" s="21"/>
      <c r="G51" s="21"/>
      <c r="H51" s="33"/>
    </row>
    <row r="52" spans="2:8" ht="22" customHeight="1" x14ac:dyDescent="0.2">
      <c r="B52" s="27"/>
      <c r="C52" s="34"/>
      <c r="D52" s="34"/>
      <c r="E52" s="34"/>
      <c r="F52" s="34"/>
      <c r="G52" s="34"/>
      <c r="H52" s="28"/>
    </row>
    <row r="54" spans="2:8" ht="28" customHeight="1" x14ac:dyDescent="0.2">
      <c r="B54" s="15" t="s">
        <v>209</v>
      </c>
      <c r="C54" s="37"/>
      <c r="D54" s="38"/>
      <c r="E54" s="38"/>
      <c r="F54" s="39"/>
    </row>
    <row r="56" spans="2:8" ht="28" customHeight="1" x14ac:dyDescent="0.2">
      <c r="B56" s="15" t="s">
        <v>210</v>
      </c>
      <c r="C56" s="37"/>
      <c r="D56" s="38"/>
      <c r="E56" s="38"/>
      <c r="F56" s="39"/>
    </row>
    <row r="58" spans="2:8" ht="22" customHeight="1" x14ac:dyDescent="0.2">
      <c r="B58" s="19" t="s">
        <v>211</v>
      </c>
      <c r="C58" s="43"/>
      <c r="D58" s="31"/>
      <c r="E58" s="31"/>
      <c r="F58" s="31"/>
      <c r="G58" s="31"/>
      <c r="H58" s="26"/>
    </row>
    <row r="59" spans="2:8" ht="22" customHeight="1" x14ac:dyDescent="0.2">
      <c r="C59" s="32"/>
      <c r="D59" s="21"/>
      <c r="E59" s="21"/>
      <c r="F59" s="21"/>
      <c r="G59" s="21"/>
      <c r="H59" s="33"/>
    </row>
    <row r="60" spans="2:8" ht="22" customHeight="1" x14ac:dyDescent="0.2">
      <c r="C60" s="32"/>
      <c r="D60" s="21"/>
      <c r="E60" s="21"/>
      <c r="F60" s="21"/>
      <c r="G60" s="21"/>
      <c r="H60" s="33"/>
    </row>
    <row r="61" spans="2:8" ht="22" customHeight="1" x14ac:dyDescent="0.2">
      <c r="C61" s="27"/>
      <c r="D61" s="34"/>
      <c r="E61" s="34"/>
      <c r="F61" s="34"/>
      <c r="G61" s="34"/>
      <c r="H61" s="28"/>
    </row>
    <row r="63" spans="2:8" ht="18" customHeight="1" x14ac:dyDescent="0.2">
      <c r="B63" s="54" t="s">
        <v>212</v>
      </c>
      <c r="C63" s="46"/>
      <c r="D63" s="46"/>
      <c r="E63" s="46"/>
      <c r="F63" s="46"/>
      <c r="G63" s="46"/>
      <c r="H63" s="47"/>
    </row>
    <row r="64" spans="2:8" ht="18" customHeight="1" x14ac:dyDescent="0.2">
      <c r="B64" s="48"/>
      <c r="C64" s="49"/>
      <c r="D64" s="49"/>
      <c r="E64" s="49"/>
      <c r="F64" s="49"/>
      <c r="G64" s="49"/>
      <c r="H64" s="50"/>
    </row>
    <row r="65" spans="2:8" ht="18" customHeight="1" x14ac:dyDescent="0.2">
      <c r="B65" s="48"/>
      <c r="C65" s="49"/>
      <c r="D65" s="49"/>
      <c r="E65" s="49"/>
      <c r="F65" s="49"/>
      <c r="G65" s="49"/>
      <c r="H65" s="50"/>
    </row>
    <row r="66" spans="2:8" ht="18" customHeight="1" x14ac:dyDescent="0.2">
      <c r="B66" s="48"/>
      <c r="C66" s="49"/>
      <c r="D66" s="49"/>
      <c r="E66" s="49"/>
      <c r="F66" s="49"/>
      <c r="G66" s="49"/>
      <c r="H66" s="50"/>
    </row>
    <row r="67" spans="2:8" ht="18" customHeight="1" x14ac:dyDescent="0.2">
      <c r="B67" s="48"/>
      <c r="C67" s="49"/>
      <c r="D67" s="49"/>
      <c r="E67" s="49"/>
      <c r="F67" s="49"/>
      <c r="G67" s="49"/>
      <c r="H67" s="50"/>
    </row>
    <row r="68" spans="2:8" ht="18" customHeight="1" x14ac:dyDescent="0.2">
      <c r="B68" s="51"/>
      <c r="C68" s="52"/>
      <c r="D68" s="52"/>
      <c r="E68" s="52"/>
      <c r="F68" s="52"/>
      <c r="G68" s="52"/>
      <c r="H68" s="53"/>
    </row>
  </sheetData>
  <mergeCells count="23">
    <mergeCell ref="B7:H7"/>
    <mergeCell ref="G22:H23"/>
    <mergeCell ref="C58:H61"/>
    <mergeCell ref="C54:F54"/>
    <mergeCell ref="B2:H2"/>
    <mergeCell ref="G36:H37"/>
    <mergeCell ref="C17:D17"/>
    <mergeCell ref="G35:H35"/>
    <mergeCell ref="B49:H52"/>
    <mergeCell ref="C56:F56"/>
    <mergeCell ref="G25:H25"/>
    <mergeCell ref="B4:H5"/>
    <mergeCell ref="C19:D19"/>
    <mergeCell ref="G31:H31"/>
    <mergeCell ref="G44:H44"/>
    <mergeCell ref="G40:H42"/>
    <mergeCell ref="G21:H21"/>
    <mergeCell ref="B9:H15"/>
    <mergeCell ref="G39:H39"/>
    <mergeCell ref="G26:H29"/>
    <mergeCell ref="B63:H68"/>
    <mergeCell ref="G32:H33"/>
    <mergeCell ref="G45:H46"/>
  </mergeCells>
  <phoneticPr fontId="24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1_複利</vt:lpstr>
      <vt:lpstr>2_誤差</vt:lpstr>
      <vt:lpstr>3_次方程式</vt:lpstr>
      <vt:lpstr>5_1次不等式</vt:lpstr>
      <vt:lpstr>6_連立方程式</vt:lpstr>
      <vt:lpstr>7_30日チャレンジ</vt:lpstr>
      <vt:lpstr>演習①_基本</vt:lpstr>
      <vt:lpstr>演習②_応用</vt:lpstr>
      <vt:lpstr>挑戦①_直感と検証</vt:lpstr>
      <vt:lpstr>挑戦②_複合分析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幹生 小船</cp:lastModifiedBy>
  <dcterms:created xsi:type="dcterms:W3CDTF">2026-04-19T16:44:34Z</dcterms:created>
  <dcterms:modified xsi:type="dcterms:W3CDTF">2026-04-19T17:08:06Z</dcterms:modified>
</cp:coreProperties>
</file>